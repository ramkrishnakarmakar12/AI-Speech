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iseases &amp; Conditions" sheetId="2" state="visible" r:id="rId4"/>
    <sheet name="Symptoms &amp; Complaints" sheetId="3" state="visible" r:id="rId5"/>
    <sheet name="Examination &amp; Tests" sheetId="4" state="visible" r:id="rId6"/>
    <sheet name="Clinical Signs" sheetId="5" state="visible" r:id="rId7"/>
    <sheet name="Medicines" sheetId="6" state="visible" r:id="rId8"/>
    <sheet name="Procedures &amp; Surgery" sheetId="7" state="visible" r:id="rId9"/>
    <sheet name="Optical &amp; Refraction" sheetId="8" state="visible" r:id="rId10"/>
    <sheet name="Rx Abbreviations" sheetId="9" state="visible" r:id="rId11"/>
    <sheet name="Counselling &amp; Advice" sheetId="10" state="visible" r:id="rId12"/>
    <sheet name="Eye Anatomy" sheetId="11" state="visible" r:id="rId13"/>
    <sheet name="Conversation Scenarios" sheetId="12" state="visible" r:id="rId14"/>
  </sheets>
  <definedNames>
    <definedName function="false" hidden="true" localSheetId="4" name="_xlnm._FilterDatabase" vbProcedure="false">'Clinical Signs'!$A$1:$F$60</definedName>
    <definedName function="false" hidden="true" localSheetId="11" name="_xlnm._FilterDatabase" vbProcedure="false">'Conversation Scenarios'!$A$1:$H$29</definedName>
    <definedName function="false" hidden="true" localSheetId="9" name="_xlnm._FilterDatabase" vbProcedure="false">'Counselling &amp; Advice'!$A$1:$D$55</definedName>
    <definedName function="false" hidden="true" localSheetId="1" name="_xlnm._FilterDatabase" vbProcedure="false">'Diseases &amp; Conditions'!$A$1:$I$158</definedName>
    <definedName function="false" hidden="true" localSheetId="3" name="_xlnm._FilterDatabase" vbProcedure="false">'Examination &amp; Tests'!$A$1:$G$73</definedName>
    <definedName function="false" hidden="true" localSheetId="10" name="_xlnm._FilterDatabase" vbProcedure="false">'Eye Anatomy'!$A$1:$E$51</definedName>
    <definedName function="false" hidden="true" localSheetId="5" name="_xlnm._FilterDatabase" vbProcedure="false">Medicines!$A$1:$I$117</definedName>
    <definedName function="false" hidden="true" localSheetId="7" name="_xlnm._FilterDatabase" vbProcedure="false">'Optical &amp; Refraction'!$A$1:$E$38</definedName>
    <definedName function="false" hidden="true" localSheetId="6" name="_xlnm._FilterDatabase" vbProcedure="false">'Procedures &amp; Surgery'!$A$1:$G$65</definedName>
    <definedName function="false" hidden="true" localSheetId="8" name="_xlnm._FilterDatabase" vbProcedure="false">'Rx Abbreviations'!$A$1:$E$90</definedName>
    <definedName function="false" hidden="true" localSheetId="2" name="_xlnm._FilterDatabase" vbProcedure="false">'Symptoms &amp; Complaints'!$A$1:$F$49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<sst xmlns="http://schemas.openxmlformats.org/spreadsheetml/2006/main" count="5392" uniqueCount="4413">
  <si>
    <t xml:space="preserve">Ophthalmology Vocabulary Reference – Doctor–Patient Conversations</t>
  </si>
  <si>
    <t xml:space="preserve">Eye-specific terms for diseases, diagnosis, medicines, procedures, and patient communication (Indian OPD context).</t>
  </si>
  <si>
    <t xml:space="preserve">Sheet</t>
  </si>
  <si>
    <t xml:space="preserve">What It Contains</t>
  </si>
  <si>
    <t xml:space="preserve">No. of Terms</t>
  </si>
  <si>
    <t xml:space="preserve">Diseases &amp; Conditions</t>
  </si>
  <si>
    <t xml:space="preserve">Primary vocabulary of eye diseases and diagnosed conditions, grouped by anatomical category.</t>
  </si>
  <si>
    <t xml:space="preserve">Symptoms &amp; Complaints</t>
  </si>
  <si>
    <t xml:space="preserve">Chief complaints as patients say them, mapped to medical terms and history-taking questions.</t>
  </si>
  <si>
    <t xml:space="preserve">Examination &amp; Tests</t>
  </si>
  <si>
    <t xml:space="preserve">Clinical examinations and investigations used to reach a diagnosis, with normal values.</t>
  </si>
  <si>
    <t xml:space="preserve">Clinical Signs</t>
  </si>
  <si>
    <t xml:space="preserve">Examination findings doctors dictate or write in notes, and what they suggest.</t>
  </si>
  <si>
    <t xml:space="preserve">Medicines</t>
  </si>
  <si>
    <t xml:space="preserve">Topical, systemic and intravitreal drugs used in ophthalmology with typical dosing as written on prescriptions.</t>
  </si>
  <si>
    <t xml:space="preserve">Procedures &amp; Surgery</t>
  </si>
  <si>
    <t xml:space="preserve">Surgeries, lasers, minor procedures and IOL types discussed with patients.</t>
  </si>
  <si>
    <t xml:space="preserve">Optical &amp; Refraction</t>
  </si>
  <si>
    <t xml:space="preserve">Spectacle, contact lens and refraction vocabulary used by optometrists and doctors.</t>
  </si>
  <si>
    <t xml:space="preserve">Rx Abbreviations</t>
  </si>
  <si>
    <t xml:space="preserve">Short forms used in OPD notes, case sheets and prescriptions.</t>
  </si>
  <si>
    <t xml:space="preserve">Counselling &amp; Advice</t>
  </si>
  <si>
    <t xml:space="preserve">Standard patient-facing phrases for drop use, surgery, and disease-specific advice.</t>
  </si>
  <si>
    <t xml:space="preserve">Eye Anatomy</t>
  </si>
  <si>
    <t xml:space="preserve">Anatomical terms that appear in diagnoses and explanations to patients.</t>
  </si>
  <si>
    <t xml:space="preserve">Conversation Scenarios</t>
  </si>
  <si>
    <t xml:space="preserve">End-to-end doctor–patient scenarios linking complaint → exam → diagnosis → prescription → advice.</t>
  </si>
  <si>
    <t xml:space="preserve">Total terms</t>
  </si>
  <si>
    <t xml:space="preserve">Disease Category</t>
  </si>
  <si>
    <t xml:space="preserve">Count</t>
  </si>
  <si>
    <t xml:space="preserve">Lens / Cataract</t>
  </si>
  <si>
    <t xml:space="preserve">Glaucoma</t>
  </si>
  <si>
    <t xml:space="preserve">Conjunctiva</t>
  </si>
  <si>
    <t xml:space="preserve">Ocular Surface</t>
  </si>
  <si>
    <t xml:space="preserve">Cornea</t>
  </si>
  <si>
    <t xml:space="preserve">Eyelid</t>
  </si>
  <si>
    <t xml:space="preserve">Lacrimal</t>
  </si>
  <si>
    <t xml:space="preserve">Uvea</t>
  </si>
  <si>
    <t xml:space="preserve">Sclera</t>
  </si>
  <si>
    <t xml:space="preserve">Retina</t>
  </si>
  <si>
    <t xml:space="preserve">Vitreous</t>
  </si>
  <si>
    <t xml:space="preserve">Neuro-ophthalmology</t>
  </si>
  <si>
    <t xml:space="preserve">Strabismus / Paediatric</t>
  </si>
  <si>
    <t xml:space="preserve">Refractive Error</t>
  </si>
  <si>
    <t xml:space="preserve">Orbit</t>
  </si>
  <si>
    <t xml:space="preserve">Trauma</t>
  </si>
  <si>
    <t xml:space="preserve">Other</t>
  </si>
  <si>
    <t xml:space="preserve">Medicine Group (Drug Class contains)</t>
  </si>
  <si>
    <t xml:space="preserve">Antibiotic</t>
  </si>
  <si>
    <t xml:space="preserve">Antifungal</t>
  </si>
  <si>
    <t xml:space="preserve">Antiviral</t>
  </si>
  <si>
    <t xml:space="preserve">Corticosteroid</t>
  </si>
  <si>
    <t xml:space="preserve">NSAID</t>
  </si>
  <si>
    <t xml:space="preserve">Anti-glaucoma</t>
  </si>
  <si>
    <t xml:space="preserve">Mydriatic</t>
  </si>
  <si>
    <t xml:space="preserve">Cycloplegic</t>
  </si>
  <si>
    <t xml:space="preserve">Lubricant</t>
  </si>
  <si>
    <t xml:space="preserve">Antihistamine</t>
  </si>
  <si>
    <t xml:space="preserve">Mast-cell</t>
  </si>
  <si>
    <t xml:space="preserve">Immunomodulator</t>
  </si>
  <si>
    <t xml:space="preserve">Anti-VEGF</t>
  </si>
  <si>
    <t xml:space="preserve">anaesthetic</t>
  </si>
  <si>
    <t xml:space="preserve">Notes &amp; assumptions:</t>
  </si>
  <si>
    <t xml:space="preserve">• ICD-10 codes are indicative (WHO ICD-10 category level; a few marked 'CM' use ICD-10-CM). Verify against your coding standard before use in billing / insurance.</t>
  </si>
  <si>
    <t xml:space="preserve">• Brand names are common Indian examples for vocabulary recognition only — not an endorsement or complete list. Availability changes; confirm locally.</t>
  </si>
  <si>
    <t xml:space="preserve">• Doses and regimens are typical textbook / clinical-practice patterns meant as vocabulary context, not prescribing guidance. Final treatment is the ophthalmologist's decision.</t>
  </si>
  <si>
    <t xml:space="preserve">• Colloquial terms: (H) = Hindi, (B) = Bengali, written in Roman script as commonly spoken in OPDs; blank where no common lay term exists.</t>
  </si>
  <si>
    <t xml:space="preserve">• 'OD' is ambiguous (right eye vs once daily). Prefer RE / LE / BE and 'once daily' in prescriptions.</t>
  </si>
  <si>
    <t xml:space="preserve">• Each sheet has filters and frozen headers; use the ID column (e.g., DIS-001) as a stable key if importing into the HMS.</t>
  </si>
  <si>
    <t xml:space="preserve">ID</t>
  </si>
  <si>
    <t xml:space="preserve">Disease / Condition</t>
  </si>
  <si>
    <t xml:space="preserve">Category</t>
  </si>
  <si>
    <t xml:space="preserve">Abbreviation / Synonyms</t>
  </si>
  <si>
    <t xml:space="preserve">ICD-10 (indicative)</t>
  </si>
  <si>
    <t xml:space="preserve">Colloquial Term (Hindi / Bengali)</t>
  </si>
  <si>
    <t xml:space="preserve">Brief Description</t>
  </si>
  <si>
    <t xml:space="preserve">Key Symptoms</t>
  </si>
  <si>
    <t xml:space="preserve">Usual Management</t>
  </si>
  <si>
    <t xml:space="preserve">DIS-001</t>
  </si>
  <si>
    <t xml:space="preserve">Age-related (senile) cataract</t>
  </si>
  <si>
    <t xml:space="preserve">Senile cataract, SIC (senile immature cataract)</t>
  </si>
  <si>
    <t xml:space="preserve">H25</t>
  </si>
  <si>
    <t xml:space="preserve">Motiyabind (H) / Chokhe chhani (B)</t>
  </si>
  <si>
    <t xml:space="preserve">Progressive clouding of the natural lens with age</t>
  </si>
  <si>
    <t xml:space="preserve">Gradual painless blurring, glare, faded colours, frequent change of glasses</t>
  </si>
  <si>
    <t xml:space="preserve">Spectacles in early stage; Phaco or MSICS with IOL when vision affects daily life</t>
  </si>
  <si>
    <t xml:space="preserve">DIS-002</t>
  </si>
  <si>
    <t xml:space="preserve">Nuclear cataract (nuclear sclerosis)</t>
  </si>
  <si>
    <t xml:space="preserve">NS, graded NS1–NS4 / LOCS III</t>
  </si>
  <si>
    <t xml:space="preserve">H25.1</t>
  </si>
  <si>
    <t xml:space="preserve">Motiyabind (H) / Chhani (B)</t>
  </si>
  <si>
    <t xml:space="preserve">Hardening and yellow-brown discolouration of the lens nucleus</t>
  </si>
  <si>
    <t xml:space="preserve">Distance blur, myopic shift ("second sight" for near), colour dulling</t>
  </si>
  <si>
    <t xml:space="preserve">Phaco / MSICS with IOL</t>
  </si>
  <si>
    <t xml:space="preserve">DIS-003</t>
  </si>
  <si>
    <t xml:space="preserve">Cortical cataract</t>
  </si>
  <si>
    <t xml:space="preserve">Cortical spokes, cuneiform cataract</t>
  </si>
  <si>
    <t xml:space="preserve">H25.0</t>
  </si>
  <si>
    <t xml:space="preserve">Wedge-shaped opacities in the lens cortex</t>
  </si>
  <si>
    <t xml:space="preserve">Glare, especially at night; blur</t>
  </si>
  <si>
    <t xml:space="preserve">DIS-004</t>
  </si>
  <si>
    <t xml:space="preserve">Posterior subcapsular cataract</t>
  </si>
  <si>
    <t xml:space="preserve">PSC, PSCC</t>
  </si>
  <si>
    <t xml:space="preserve">Opacity just in front of the posterior lens capsule; common with steroids, diabetes</t>
  </si>
  <si>
    <t xml:space="preserve">Glare, poor near vision, worse in bright light</t>
  </si>
  <si>
    <t xml:space="preserve">Phaco with IOL</t>
  </si>
  <si>
    <t xml:space="preserve">DIS-005</t>
  </si>
  <si>
    <t xml:space="preserve">Mature cataract</t>
  </si>
  <si>
    <t xml:space="preserve">SMC (senile mature cataract), white cataract</t>
  </si>
  <si>
    <t xml:space="preserve">H25.8</t>
  </si>
  <si>
    <t xml:space="preserve">Safed motiya (H) / Paka chhani (B)</t>
  </si>
  <si>
    <t xml:space="preserve">Fully opaque lens; fundus not visible</t>
  </si>
  <si>
    <t xml:space="preserve">Severe vision loss, hand movements / PL only</t>
  </si>
  <si>
    <t xml:space="preserve">Phaco (with trypan blue) or MSICS</t>
  </si>
  <si>
    <t xml:space="preserve">DIS-006</t>
  </si>
  <si>
    <t xml:space="preserve">Hypermature / Morgagnian cataract</t>
  </si>
  <si>
    <t xml:space="preserve">Morgagnian cataract</t>
  </si>
  <si>
    <t xml:space="preserve">H25.2</t>
  </si>
  <si>
    <t xml:space="preserve">Paka motiya (H) / Paka chhani (B)</t>
  </si>
  <si>
    <t xml:space="preserve">Liquefied cortex with sinking nucleus; risk of lens-induced glaucoma</t>
  </si>
  <si>
    <t xml:space="preserve">Very poor vision; may present with pain and raised IOP</t>
  </si>
  <si>
    <t xml:space="preserve">Urgent cataract surgery</t>
  </si>
  <si>
    <t xml:space="preserve">DIS-007</t>
  </si>
  <si>
    <t xml:space="preserve">Congenital / developmental cataract</t>
  </si>
  <si>
    <t xml:space="preserve">Paediatric cataract, lamellar / zonular cataract</t>
  </si>
  <si>
    <t xml:space="preserve">Q12.0</t>
  </si>
  <si>
    <t xml:space="preserve">Bachche ki aankh mein safedi (H) / Bachchar chokhe sada daag (B)</t>
  </si>
  <si>
    <t xml:space="preserve">Lens opacity present at birth or developing in childhood</t>
  </si>
  <si>
    <t xml:space="preserve">White pupil (leukocoria), squint, nystagmus, poor visual response</t>
  </si>
  <si>
    <t xml:space="preserve">Early lensectomy / cataract surgery, amblyopia therapy</t>
  </si>
  <si>
    <t xml:space="preserve">DIS-008</t>
  </si>
  <si>
    <t xml:space="preserve">Traumatic cataract</t>
  </si>
  <si>
    <t xml:space="preserve">Rosette cataract</t>
  </si>
  <si>
    <t xml:space="preserve">H26.1</t>
  </si>
  <si>
    <t xml:space="preserve">Chot se motiya (H) / Aghat theke chhani (B)</t>
  </si>
  <si>
    <t xml:space="preserve">Cataract after blunt or penetrating injury</t>
  </si>
  <si>
    <t xml:space="preserve">Blur after injury; may have raised IOP</t>
  </si>
  <si>
    <t xml:space="preserve">Cataract surgery, treat associated injury</t>
  </si>
  <si>
    <t xml:space="preserve">DIS-009</t>
  </si>
  <si>
    <t xml:space="preserve">Complicated cataract</t>
  </si>
  <si>
    <t xml:space="preserve">Secondary cataract (to uveitis, RP, high myopia)</t>
  </si>
  <si>
    <t xml:space="preserve">H26.2</t>
  </si>
  <si>
    <t xml:space="preserve">Cataract secondary to another eye disease</t>
  </si>
  <si>
    <t xml:space="preserve">Blur with history of uveitis etc.</t>
  </si>
  <si>
    <t xml:space="preserve">Control inflammation, then surgery with steroid cover</t>
  </si>
  <si>
    <t xml:space="preserve">DIS-010</t>
  </si>
  <si>
    <t xml:space="preserve">Steroid-induced cataract</t>
  </si>
  <si>
    <t xml:space="preserve">Drug-induced cataract</t>
  </si>
  <si>
    <t xml:space="preserve">H26.3</t>
  </si>
  <si>
    <t xml:space="preserve">PSC cataract caused by prolonged steroid use (drops, tablets, inhalers)</t>
  </si>
  <si>
    <t xml:space="preserve">Glare, near blur</t>
  </si>
  <si>
    <t xml:space="preserve">Taper steroid; cataract surgery</t>
  </si>
  <si>
    <t xml:space="preserve">DIS-011</t>
  </si>
  <si>
    <t xml:space="preserve">Diabetic cataract</t>
  </si>
  <si>
    <t xml:space="preserve">Snowflake cataract</t>
  </si>
  <si>
    <t xml:space="preserve">E11.3 / H28.0</t>
  </si>
  <si>
    <t xml:space="preserve">Cataract occurring earlier / faster in diabetes</t>
  </si>
  <si>
    <t xml:space="preserve">Blur, fluctuating refraction</t>
  </si>
  <si>
    <t xml:space="preserve">Glycaemic control; surgery with retina evaluation</t>
  </si>
  <si>
    <t xml:space="preserve">DIS-012</t>
  </si>
  <si>
    <t xml:space="preserve">Posterior capsular opacification</t>
  </si>
  <si>
    <t xml:space="preserve">PCO, after-cataract, "secondary cataract", Elschnig pearls</t>
  </si>
  <si>
    <t xml:space="preserve">H26.4</t>
  </si>
  <si>
    <t xml:space="preserve">Jhilli (H) / Porda pora (B)</t>
  </si>
  <si>
    <t xml:space="preserve">Clouding of the posterior capsule months/years after cataract surgery</t>
  </si>
  <si>
    <t xml:space="preserve">Gradual blur again after successful surgery, glare</t>
  </si>
  <si>
    <t xml:space="preserve">Nd:YAG laser capsulotomy</t>
  </si>
  <si>
    <t xml:space="preserve">DIS-013</t>
  </si>
  <si>
    <t xml:space="preserve">Pseudophakia</t>
  </si>
  <si>
    <t xml:space="preserve">PCIOL in situ, s/p cataract surgery</t>
  </si>
  <si>
    <t xml:space="preserve">Z96.1</t>
  </si>
  <si>
    <t xml:space="preserve">Lens lagaya hua (H) / Lens bosano (B)</t>
  </si>
  <si>
    <t xml:space="preserve">Status after cataract surgery with IOL implant</t>
  </si>
  <si>
    <t xml:space="preserve">—</t>
  </si>
  <si>
    <t xml:space="preserve">Routine follow-up, near glasses</t>
  </si>
  <si>
    <t xml:space="preserve">DIS-014</t>
  </si>
  <si>
    <t xml:space="preserve">Aphakia</t>
  </si>
  <si>
    <t xml:space="preserve">Surgical aphakia</t>
  </si>
  <si>
    <t xml:space="preserve">H27.0</t>
  </si>
  <si>
    <t xml:space="preserve">Absence of the natural lens without IOL</t>
  </si>
  <si>
    <t xml:space="preserve">Very blurred vision without thick (+10D) glasses</t>
  </si>
  <si>
    <t xml:space="preserve">Aphakic glasses, contact lens, secondary IOL (SFIOL / ACIOL)</t>
  </si>
  <si>
    <t xml:space="preserve">DIS-015</t>
  </si>
  <si>
    <t xml:space="preserve">Subluxated / dislocated lens</t>
  </si>
  <si>
    <t xml:space="preserve">Ectopia lentis (Marfan, trauma, PXF)</t>
  </si>
  <si>
    <t xml:space="preserve">H27.1 / Q12.1</t>
  </si>
  <si>
    <t xml:space="preserve">Lens displaced from normal position due to weak zonules</t>
  </si>
  <si>
    <t xml:space="preserve">Fluctuating vision, monocular diplopia, iridodonesis</t>
  </si>
  <si>
    <t xml:space="preserve">Glasses, lensectomy, CTR / scleral-fixated IOL</t>
  </si>
  <si>
    <t xml:space="preserve">DIS-016</t>
  </si>
  <si>
    <t xml:space="preserve">IOL decentration / dislocation</t>
  </si>
  <si>
    <t xml:space="preserve">Dropped IOL, IOL subluxation</t>
  </si>
  <si>
    <t xml:space="preserve">T85.2</t>
  </si>
  <si>
    <t xml:space="preserve">Implanted lens shifted from centre or dropped into vitreous</t>
  </si>
  <si>
    <t xml:space="preserve">Blur, glare, edge effects</t>
  </si>
  <si>
    <t xml:space="preserve">IOL repositioning / exchange, vitrectomy</t>
  </si>
  <si>
    <t xml:space="preserve">DIS-017</t>
  </si>
  <si>
    <t xml:space="preserve">Primary open-angle glaucoma</t>
  </si>
  <si>
    <t xml:space="preserve">POAG, chronic simple glaucoma</t>
  </si>
  <si>
    <t xml:space="preserve">H40.1</t>
  </si>
  <si>
    <t xml:space="preserve">Kala motia (H) / Chokher pressure / Glaucoma (B)</t>
  </si>
  <si>
    <t xml:space="preserve">Chronic progressive optic neuropathy with open angle, usually raised IOP</t>
  </si>
  <si>
    <t xml:space="preserve">Usually no symptoms until late; gradual peripheral field loss</t>
  </si>
  <si>
    <t xml:space="preserve">PG analogue / beta-blocker drops, SLT, trabeculectomy</t>
  </si>
  <si>
    <t xml:space="preserve">DIS-018</t>
  </si>
  <si>
    <t xml:space="preserve">Primary angle-closure glaucoma</t>
  </si>
  <si>
    <t xml:space="preserve">PACG, chronic angle closure</t>
  </si>
  <si>
    <t xml:space="preserve">H40.2</t>
  </si>
  <si>
    <t xml:space="preserve">Kala motia (H) / Chokher pressure (B)</t>
  </si>
  <si>
    <t xml:space="preserve">Glaucoma due to closed/narrow drainage angle</t>
  </si>
  <si>
    <t xml:space="preserve">Intermittent haloes, headache, eye ache; may be silent</t>
  </si>
  <si>
    <t xml:space="preserve">YAG PI, drops, lens extraction, trabeculectomy</t>
  </si>
  <si>
    <t xml:space="preserve">DIS-019</t>
  </si>
  <si>
    <t xml:space="preserve">Acute angle-closure attack</t>
  </si>
  <si>
    <t xml:space="preserve">APAC, acute congestive glaucoma</t>
  </si>
  <si>
    <t xml:space="preserve">Aankh mein tez dard aur pressure (H) / Chokhe probol byatha (B)</t>
  </si>
  <si>
    <t xml:space="preserve">Sudden closure of the angle with very high IOP — an emergency</t>
  </si>
  <si>
    <t xml:space="preserve">Sudden severe pain, red eye, coloured haloes, headache, nausea, vomiting</t>
  </si>
  <si>
    <t xml:space="preserve">IV mannitol, oral acetazolamide, pilocarpine, timolol; then YAG PI both eyes</t>
  </si>
  <si>
    <t xml:space="preserve">DIS-020</t>
  </si>
  <si>
    <t xml:space="preserve">Primary angle-closure suspect</t>
  </si>
  <si>
    <t xml:space="preserve">PACS, narrow / occludable angles</t>
  </si>
  <si>
    <t xml:space="preserve">H40.0</t>
  </si>
  <si>
    <t xml:space="preserve">Narrow angle at risk of closure, no glaucoma yet</t>
  </si>
  <si>
    <t xml:space="preserve">None</t>
  </si>
  <si>
    <t xml:space="preserve">Prophylactic YAG PI, periodic review</t>
  </si>
  <si>
    <t xml:space="preserve">DIS-021</t>
  </si>
  <si>
    <t xml:space="preserve">Normal-tension glaucoma</t>
  </si>
  <si>
    <t xml:space="preserve">NTG, normal-pressure glaucoma (NPG)</t>
  </si>
  <si>
    <t xml:space="preserve">Glaucomatous optic neuropathy with IOP in normal range</t>
  </si>
  <si>
    <t xml:space="preserve">Silent field loss</t>
  </si>
  <si>
    <t xml:space="preserve">Lower IOP by ~30%, check BP / vascular factors</t>
  </si>
  <si>
    <t xml:space="preserve">DIS-022</t>
  </si>
  <si>
    <t xml:space="preserve">Ocular hypertension</t>
  </si>
  <si>
    <t xml:space="preserve">OHT</t>
  </si>
  <si>
    <t xml:space="preserve">Aankh ka pressure zyada (H) / Chokher pressure beshi (B)</t>
  </si>
  <si>
    <t xml:space="preserve">IOP above normal without optic nerve damage</t>
  </si>
  <si>
    <t xml:space="preserve">Monitor; treat if high risk</t>
  </si>
  <si>
    <t xml:space="preserve">DIS-023</t>
  </si>
  <si>
    <t xml:space="preserve">Glaucoma suspect</t>
  </si>
  <si>
    <t xml:space="preserve">GS, suspicious disc</t>
  </si>
  <si>
    <t xml:space="preserve">Findings suspicious of glaucoma (large cup, family history) needing monitoring</t>
  </si>
  <si>
    <t xml:space="preserve">OCT RNFL, perimetry, periodic review</t>
  </si>
  <si>
    <t xml:space="preserve">DIS-024</t>
  </si>
  <si>
    <t xml:space="preserve">Pseudoexfoliation glaucoma</t>
  </si>
  <si>
    <t xml:space="preserve">PXF / PXG, capsular glaucoma</t>
  </si>
  <si>
    <t xml:space="preserve">Open-angle glaucoma from exfoliative material; higher IOP spikes</t>
  </si>
  <si>
    <t xml:space="preserve">Silent; weak zonules at cataract surgery</t>
  </si>
  <si>
    <t xml:space="preserve">Drops, SLT, surgery; careful cataract surgery</t>
  </si>
  <si>
    <t xml:space="preserve">DIS-025</t>
  </si>
  <si>
    <t xml:space="preserve">Pigmentary glaucoma</t>
  </si>
  <si>
    <t xml:space="preserve">PDS (pigment dispersion syndrome)</t>
  </si>
  <si>
    <t xml:space="preserve">Pigment shed from iris blocks trabecular meshwork; young myopes</t>
  </si>
  <si>
    <t xml:space="preserve">Blur / haloes after exercise</t>
  </si>
  <si>
    <t xml:space="preserve">Drops, laser PI / SLT</t>
  </si>
  <si>
    <t xml:space="preserve">DIS-026</t>
  </si>
  <si>
    <t xml:space="preserve">Steroid-induced glaucoma</t>
  </si>
  <si>
    <t xml:space="preserve">Steroid responder</t>
  </si>
  <si>
    <t xml:space="preserve">H40.6</t>
  </si>
  <si>
    <t xml:space="preserve">IOP rise from steroid use (drops, creams, tablets)</t>
  </si>
  <si>
    <t xml:space="preserve">Silent</t>
  </si>
  <si>
    <t xml:space="preserve">Stop / switch steroid, IOP-lowering drops</t>
  </si>
  <si>
    <t xml:space="preserve">DIS-027</t>
  </si>
  <si>
    <t xml:space="preserve">Neovascular glaucoma</t>
  </si>
  <si>
    <t xml:space="preserve">NVG, rubeosis iridis</t>
  </si>
  <si>
    <t xml:space="preserve">H40.5</t>
  </si>
  <si>
    <t xml:space="preserve">Abnormal new vessels close the angle; after CRVO or PDR</t>
  </si>
  <si>
    <t xml:space="preserve">Painful red eye, very high IOP, poor vision</t>
  </si>
  <si>
    <t xml:space="preserve">Anti-VEGF, PRP, IOP drops, glaucoma drainage device / CPC</t>
  </si>
  <si>
    <t xml:space="preserve">DIS-028</t>
  </si>
  <si>
    <t xml:space="preserve">Phacomorphic glaucoma</t>
  </si>
  <si>
    <t xml:space="preserve">Lens-induced angle closure</t>
  </si>
  <si>
    <t xml:space="preserve">Swollen cataractous lens pushes iris forward, closing angle</t>
  </si>
  <si>
    <t xml:space="preserve">Acute pain, redness, mature cataract</t>
  </si>
  <si>
    <t xml:space="preserve">IOP control then urgent cataract surgery</t>
  </si>
  <si>
    <t xml:space="preserve">DIS-029</t>
  </si>
  <si>
    <t xml:space="preserve">Phacolytic glaucoma</t>
  </si>
  <si>
    <t xml:space="preserve">Lens protein glaucoma</t>
  </si>
  <si>
    <t xml:space="preserve">Leakage of lens proteins from hypermature cataract blocks outflow</t>
  </si>
  <si>
    <t xml:space="preserve">Pain, redness, high IOP, open angle</t>
  </si>
  <si>
    <t xml:space="preserve">IOP control, cataract extraction</t>
  </si>
  <si>
    <t xml:space="preserve">DIS-030</t>
  </si>
  <si>
    <t xml:space="preserve">Uveitic glaucoma</t>
  </si>
  <si>
    <t xml:space="preserve">Inflammatory glaucoma</t>
  </si>
  <si>
    <t xml:space="preserve">H40.4</t>
  </si>
  <si>
    <t xml:space="preserve">Raised IOP from uveitis or its treatment</t>
  </si>
  <si>
    <t xml:space="preserve">Pain, redness, blur</t>
  </si>
  <si>
    <t xml:space="preserve">Control inflammation, IOP drops (avoid PG in active uveitis)</t>
  </si>
  <si>
    <t xml:space="preserve">DIS-031</t>
  </si>
  <si>
    <t xml:space="preserve">Traumatic / angle-recession glaucoma</t>
  </si>
  <si>
    <t xml:space="preserve">Angle recession</t>
  </si>
  <si>
    <t xml:space="preserve">H40.3</t>
  </si>
  <si>
    <t xml:space="preserve">Raised IOP after blunt injury damaging the angle</t>
  </si>
  <si>
    <t xml:space="preserve">Silent; history of injury</t>
  </si>
  <si>
    <t xml:space="preserve">Drops, surgery</t>
  </si>
  <si>
    <t xml:space="preserve">DIS-032</t>
  </si>
  <si>
    <t xml:space="preserve">Congenital glaucoma</t>
  </si>
  <si>
    <t xml:space="preserve">Buphthalmos, primary congenital glaucoma (PCG)</t>
  </si>
  <si>
    <t xml:space="preserve">Q15.0</t>
  </si>
  <si>
    <t xml:space="preserve">Bachche ki badi aankh (H) / Bachchar boro chokh (B)</t>
  </si>
  <si>
    <t xml:space="preserve">Raised IOP in infants from angle maldevelopment</t>
  </si>
  <si>
    <t xml:space="preserve">Large hazy cornea, watering, photophobia, blepharospasm</t>
  </si>
  <si>
    <t xml:space="preserve">Goniotomy / trabeculotomy + trabeculectomy</t>
  </si>
  <si>
    <t xml:space="preserve">DIS-033</t>
  </si>
  <si>
    <t xml:space="preserve">Juvenile open-angle glaucoma</t>
  </si>
  <si>
    <t xml:space="preserve">JOAG</t>
  </si>
  <si>
    <t xml:space="preserve">Open-angle glaucoma in age 3–40 years</t>
  </si>
  <si>
    <t xml:space="preserve">Often myopic; silent</t>
  </si>
  <si>
    <t xml:space="preserve">Drops, early surgery</t>
  </si>
  <si>
    <t xml:space="preserve">DIS-034</t>
  </si>
  <si>
    <t xml:space="preserve">Malignant glaucoma</t>
  </si>
  <si>
    <t xml:space="preserve">Aqueous misdirection</t>
  </si>
  <si>
    <t xml:space="preserve">H40.8</t>
  </si>
  <si>
    <t xml:space="preserve">Aqueous flows into vitreous, shallowing AC after surgery</t>
  </si>
  <si>
    <t xml:space="preserve">Pain, shallow AC, high IOP</t>
  </si>
  <si>
    <t xml:space="preserve">Cycloplegics, aqueous suppressants, vitrectomy</t>
  </si>
  <si>
    <t xml:space="preserve">DIS-035</t>
  </si>
  <si>
    <t xml:space="preserve">Viral conjunctivitis</t>
  </si>
  <si>
    <t xml:space="preserve">Adenoviral conjunctivitis, "eye flu", "pink eye"</t>
  </si>
  <si>
    <t xml:space="preserve">B30</t>
  </si>
  <si>
    <t xml:space="preserve">Aankh aana (H) / Chokh otha (B)</t>
  </si>
  <si>
    <t xml:space="preserve">Contagious viral infection of the conjunctiva</t>
  </si>
  <si>
    <t xml:space="preserve">Redness, watering, grittiness, lid swelling, starts in one eye then other</t>
  </si>
  <si>
    <t xml:space="preserve">Lubricants, cold compress, hygiene; antibiotic drops to prevent secondary infection; short steroid if membranes / SEIs</t>
  </si>
  <si>
    <t xml:space="preserve">DIS-036</t>
  </si>
  <si>
    <t xml:space="preserve">Epidemic keratoconjunctivitis</t>
  </si>
  <si>
    <t xml:space="preserve">EKC, adenovirus 8/19</t>
  </si>
  <si>
    <t xml:space="preserve">B30.0</t>
  </si>
  <si>
    <t xml:space="preserve">Severe adenoviral infection with corneal involvement</t>
  </si>
  <si>
    <t xml:space="preserve">Redness, watering, pain, photophobia, blur from SEIs</t>
  </si>
  <si>
    <t xml:space="preserve">Lubricants, hygiene, steroid for SEIs / pseudomembrane</t>
  </si>
  <si>
    <t xml:space="preserve">DIS-037</t>
  </si>
  <si>
    <t xml:space="preserve">Acute haemorrhagic conjunctivitis</t>
  </si>
  <si>
    <t xml:space="preserve">AHC, "Apollo conjunctivitis"</t>
  </si>
  <si>
    <t xml:space="preserve">B30.3</t>
  </si>
  <si>
    <t xml:space="preserve">Laal aankh (H) / Rokto jomano chokh (B)</t>
  </si>
  <si>
    <t xml:space="preserve">Enteroviral conjunctivitis with subconjunctival bleeding; epidemic</t>
  </si>
  <si>
    <t xml:space="preserve">Sudden redness with blood spots, watering, pain</t>
  </si>
  <si>
    <t xml:space="preserve">Supportive, hygiene</t>
  </si>
  <si>
    <t xml:space="preserve">DIS-038</t>
  </si>
  <si>
    <t xml:space="preserve">Bacterial conjunctivitis</t>
  </si>
  <si>
    <t xml:space="preserve">Mucopurulent conjunctivitis</t>
  </si>
  <si>
    <t xml:space="preserve">H10.0</t>
  </si>
  <si>
    <t xml:space="preserve">Aankh mein keechad (H) / Chokhe pichuti (B)</t>
  </si>
  <si>
    <t xml:space="preserve">Bacterial infection of the conjunctiva</t>
  </si>
  <si>
    <t xml:space="preserve">Redness, sticky yellow-green discharge, lids stuck in the morning</t>
  </si>
  <si>
    <t xml:space="preserve">Topical antibiotic drops / ointment</t>
  </si>
  <si>
    <t xml:space="preserve">DIS-039</t>
  </si>
  <si>
    <t xml:space="preserve">Allergic conjunctivitis</t>
  </si>
  <si>
    <t xml:space="preserve">SAC (seasonal), PAC (perennial)</t>
  </si>
  <si>
    <t xml:space="preserve">H10.1</t>
  </si>
  <si>
    <t xml:space="preserve">Aankh mein khujli (H) / Chokh chulkano (B)</t>
  </si>
  <si>
    <t xml:space="preserve">Allergic reaction of conjunctiva to dust, pollen, etc.</t>
  </si>
  <si>
    <t xml:space="preserve">Itching, watering, redness, stringy discharge, both eyes</t>
  </si>
  <si>
    <t xml:space="preserve">Antihistamine / mast-cell stabiliser drops, cold compress, avoid rubbing</t>
  </si>
  <si>
    <t xml:space="preserve">DIS-040</t>
  </si>
  <si>
    <t xml:space="preserve">Vernal keratoconjunctivitis</t>
  </si>
  <si>
    <t xml:space="preserve">VKC, spring catarrh</t>
  </si>
  <si>
    <t xml:space="preserve">H10.4</t>
  </si>
  <si>
    <t xml:space="preserve">Garmi ki aankh ki khujli (H) / Grishmer chokh chulkano (B)</t>
  </si>
  <si>
    <t xml:space="preserve">Chronic seasonal allergy in children, mainly boys, worse in summer</t>
  </si>
  <si>
    <t xml:space="preserve">Intense itching, ropy discharge, photophobia, giant papillae, Horner–Trantas dots</t>
  </si>
  <si>
    <t xml:space="preserve">Olopatadine, mast-cell stabilisers, cyclosporine / tacrolimus, short steroid pulses</t>
  </si>
  <si>
    <t xml:space="preserve">DIS-041</t>
  </si>
  <si>
    <t xml:space="preserve">Atopic keratoconjunctivitis</t>
  </si>
  <si>
    <t xml:space="preserve">AKC</t>
  </si>
  <si>
    <t xml:space="preserve">Chronic allergy in adults with eczema / asthma</t>
  </si>
  <si>
    <t xml:space="preserve">Itching, burning, lid eczema</t>
  </si>
  <si>
    <t xml:space="preserve">Anti-allergics, cyclosporine / tacrolimus</t>
  </si>
  <si>
    <t xml:space="preserve">DIS-042</t>
  </si>
  <si>
    <t xml:space="preserve">Giant papillary conjunctivitis</t>
  </si>
  <si>
    <t xml:space="preserve">GPC, contact lens-related</t>
  </si>
  <si>
    <t xml:space="preserve">Allergic reaction to contact lens / sutures / prosthesis</t>
  </si>
  <si>
    <t xml:space="preserve">Itching, mucus, lens intolerance</t>
  </si>
  <si>
    <t xml:space="preserve">Stop lens wear, mast-cell stabilisers</t>
  </si>
  <si>
    <t xml:space="preserve">DIS-043</t>
  </si>
  <si>
    <t xml:space="preserve">Ophthalmia neonatorum</t>
  </si>
  <si>
    <t xml:space="preserve">Neonatal conjunctivitis</t>
  </si>
  <si>
    <t xml:space="preserve">P39.1</t>
  </si>
  <si>
    <t xml:space="preserve">Navjaat ki aankh ka infection (H)</t>
  </si>
  <si>
    <t xml:space="preserve">Conjunctivitis in first 28 days of life</t>
  </si>
  <si>
    <t xml:space="preserve">Discharge, lid swelling in newborn</t>
  </si>
  <si>
    <t xml:space="preserve">Swab culture, topical + systemic antibiotics</t>
  </si>
  <si>
    <t xml:space="preserve">DIS-044</t>
  </si>
  <si>
    <t xml:space="preserve">Trachoma</t>
  </si>
  <si>
    <t xml:space="preserve">Chlamydial keratoconjunctivitis</t>
  </si>
  <si>
    <t xml:space="preserve">A71</t>
  </si>
  <si>
    <t xml:space="preserve">Rohe (H)</t>
  </si>
  <si>
    <t xml:space="preserve">Chronic chlamydial infection causing scarring</t>
  </si>
  <si>
    <t xml:space="preserve">Follicles, scarring, trichiasis</t>
  </si>
  <si>
    <t xml:space="preserve">Azithromycin, surgery for trichiasis (SAFE strategy)</t>
  </si>
  <si>
    <t xml:space="preserve">DIS-045</t>
  </si>
  <si>
    <t xml:space="preserve">Dry eye disease</t>
  </si>
  <si>
    <t xml:space="preserve">DED, KCS (keratoconjunctivitis sicca), tear film dysfunction</t>
  </si>
  <si>
    <t xml:space="preserve">H04.1</t>
  </si>
  <si>
    <t xml:space="preserve">Aankh sukhna (H) / Chokh shukiye jawa (B)</t>
  </si>
  <si>
    <t xml:space="preserve">Insufficient or unstable tear film</t>
  </si>
  <si>
    <t xml:space="preserve">Burning, grittiness, dryness, tired eyes, worse with screens / AC</t>
  </si>
  <si>
    <t xml:space="preserve">Lubricants, warm compress, cyclosporine, punctal plugs</t>
  </si>
  <si>
    <t xml:space="preserve">DIS-046</t>
  </si>
  <si>
    <t xml:space="preserve">Meibomian gland dysfunction</t>
  </si>
  <si>
    <t xml:space="preserve">MGD, posterior blepharitis</t>
  </si>
  <si>
    <t xml:space="preserve">H02.88 (CM)</t>
  </si>
  <si>
    <t xml:space="preserve">Blocked oil glands of lid margin causing evaporative dry eye</t>
  </si>
  <si>
    <t xml:space="preserve">Burning, frothy tears, lid redness</t>
  </si>
  <si>
    <t xml:space="preserve">Warm compress, lid hygiene, doxycycline / azithromycin</t>
  </si>
  <si>
    <t xml:space="preserve">DIS-047</t>
  </si>
  <si>
    <t xml:space="preserve">Pterygium</t>
  </si>
  <si>
    <t xml:space="preserve">Surfer's eye</t>
  </si>
  <si>
    <t xml:space="preserve">H11.0</t>
  </si>
  <si>
    <t xml:space="preserve">Nakhuna (H) / Chokhe mangsho bara (B)</t>
  </si>
  <si>
    <t xml:space="preserve">Wing-shaped fibrovascular growth from conjunctiva onto cornea</t>
  </si>
  <si>
    <t xml:space="preserve">Visible growth, redness, irritation, astigmatism</t>
  </si>
  <si>
    <t xml:space="preserve">Lubricants; excision with conjunctival autograft (glue / sutures)</t>
  </si>
  <si>
    <t xml:space="preserve">DIS-048</t>
  </si>
  <si>
    <t xml:space="preserve">Pinguecula</t>
  </si>
  <si>
    <t xml:space="preserve">H11.1</t>
  </si>
  <si>
    <t xml:space="preserve">Yellowish raised deposit on conjunctiva near cornea</t>
  </si>
  <si>
    <t xml:space="preserve">Irritation, cosmetic concern</t>
  </si>
  <si>
    <t xml:space="preserve">Lubricants, sun protection</t>
  </si>
  <si>
    <t xml:space="preserve">DIS-049</t>
  </si>
  <si>
    <t xml:space="preserve">Subconjunctival haemorrhage</t>
  </si>
  <si>
    <t xml:space="preserve">SCH</t>
  </si>
  <si>
    <t xml:space="preserve">H11.3</t>
  </si>
  <si>
    <t xml:space="preserve">Aankh mein khoon (H) / Chokhe rokto jomeche (B)</t>
  </si>
  <si>
    <t xml:space="preserve">Bleeding under the conjunctiva; painless, harmless in most cases</t>
  </si>
  <si>
    <t xml:space="preserve">Bright red patch on white of the eye, no pain, normal vision</t>
  </si>
  <si>
    <t xml:space="preserve">Reassurance, check BP / anticoagulants; resolves in 2 weeks</t>
  </si>
  <si>
    <t xml:space="preserve">DIS-050</t>
  </si>
  <si>
    <t xml:space="preserve">Conjunctival concretions</t>
  </si>
  <si>
    <t xml:space="preserve">Lithiasis</t>
  </si>
  <si>
    <t xml:space="preserve">Small yellow deposits in palpebral conjunctiva</t>
  </si>
  <si>
    <t xml:space="preserve">Foreign body sensation</t>
  </si>
  <si>
    <t xml:space="preserve">Removal with needle if eroding</t>
  </si>
  <si>
    <t xml:space="preserve">DIS-051</t>
  </si>
  <si>
    <t xml:space="preserve">Conjunctival cyst</t>
  </si>
  <si>
    <t xml:space="preserve">Inclusion cyst</t>
  </si>
  <si>
    <t xml:space="preserve">H11.4</t>
  </si>
  <si>
    <t xml:space="preserve">Fluid-filled cyst of the conjunctiva</t>
  </si>
  <si>
    <t xml:space="preserve">Small bubble, irritation</t>
  </si>
  <si>
    <t xml:space="preserve">Observation / excision</t>
  </si>
  <si>
    <t xml:space="preserve">DIS-052</t>
  </si>
  <si>
    <t xml:space="preserve">Ocular surface squamous neoplasia</t>
  </si>
  <si>
    <t xml:space="preserve">OSSN, CIN</t>
  </si>
  <si>
    <t xml:space="preserve">D09.2 / C69.0</t>
  </si>
  <si>
    <t xml:space="preserve">Pre-cancerous or cancerous growth at limbus</t>
  </si>
  <si>
    <t xml:space="preserve">Gelatinous / leukoplakic limbal mass</t>
  </si>
  <si>
    <t xml:space="preserve">Excision with cryotherapy, topical MMC / 5-FU / interferon</t>
  </si>
  <si>
    <t xml:space="preserve">DIS-053</t>
  </si>
  <si>
    <t xml:space="preserve">Bacterial keratitis / corneal ulcer</t>
  </si>
  <si>
    <t xml:space="preserve">Infective keratitis</t>
  </si>
  <si>
    <t xml:space="preserve">H16.0</t>
  </si>
  <si>
    <t xml:space="preserve">Aankh mein zakhm (H) / Chokhe gha (B)</t>
  </si>
  <si>
    <t xml:space="preserve">Bacterial infection of cornea with epithelial defect and infiltrate</t>
  </si>
  <si>
    <t xml:space="preserve">Pain, redness, watering, photophobia, white spot on cornea, blur</t>
  </si>
  <si>
    <t xml:space="preserve">Scraping for smear/culture, fortified or fluoroquinolone drops hourly, cycloplegic</t>
  </si>
  <si>
    <t xml:space="preserve">DIS-054</t>
  </si>
  <si>
    <t xml:space="preserve">Fungal keratitis</t>
  </si>
  <si>
    <t xml:space="preserve">Mycotic keratitis (often after vegetative trauma)</t>
  </si>
  <si>
    <t xml:space="preserve">B49 / H16.0</t>
  </si>
  <si>
    <t xml:space="preserve">Fungal corneal ulcer, common in agricultural injury</t>
  </si>
  <si>
    <t xml:space="preserve">Pain, feathery infiltrate, satellite lesions, hypopyon</t>
  </si>
  <si>
    <t xml:space="preserve">Natamycin 5% hourly, voriconazole, avoid steroids</t>
  </si>
  <si>
    <t xml:space="preserve">DIS-055</t>
  </si>
  <si>
    <t xml:space="preserve">Acanthamoeba keratitis</t>
  </si>
  <si>
    <t xml:space="preserve">AK</t>
  </si>
  <si>
    <t xml:space="preserve">B60.1</t>
  </si>
  <si>
    <t xml:space="preserve">Protozoal keratitis, contact lens / contaminated water</t>
  </si>
  <si>
    <t xml:space="preserve">Pain out of proportion, ring infiltrate</t>
  </si>
  <si>
    <t xml:space="preserve">PHMB / chlorhexidine drops</t>
  </si>
  <si>
    <t xml:space="preserve">DIS-056</t>
  </si>
  <si>
    <t xml:space="preserve">Herpes simplex keratitis</t>
  </si>
  <si>
    <t xml:space="preserve">HSK, dendritic ulcer, HSV keratitis</t>
  </si>
  <si>
    <t xml:space="preserve">B00.5</t>
  </si>
  <si>
    <t xml:space="preserve">Viral keratitis with branching (dendritic) ulcer; recurrent</t>
  </si>
  <si>
    <t xml:space="preserve">Redness, watering, photophobia, reduced corneal sensation</t>
  </si>
  <si>
    <t xml:space="preserve">Ganciclovir gel / acyclovir ointment, oral acyclovir; no steroid in epithelial disease</t>
  </si>
  <si>
    <t xml:space="preserve">DIS-057</t>
  </si>
  <si>
    <t xml:space="preserve">Herpes zoster ophthalmicus</t>
  </si>
  <si>
    <t xml:space="preserve">HZO, shingles of the eye</t>
  </si>
  <si>
    <t xml:space="preserve">B02.3</t>
  </si>
  <si>
    <t xml:space="preserve">Harpis (H) / Jol-bosonto chokhe (B)</t>
  </si>
  <si>
    <t xml:space="preserve">Varicella-zoster reactivation in ophthalmic division of trigeminal nerve</t>
  </si>
  <si>
    <t xml:space="preserve">Vesicular rash on forehead, eye pain, redness</t>
  </si>
  <si>
    <t xml:space="preserve">Oral acyclovir / valacyclovir, topical therapy for keratitis / uveitis</t>
  </si>
  <si>
    <t xml:space="preserve">DIS-058</t>
  </si>
  <si>
    <t xml:space="preserve">Keratoconus</t>
  </si>
  <si>
    <t xml:space="preserve">KC, ectatic corneal disease</t>
  </si>
  <si>
    <t xml:space="preserve">H18.6</t>
  </si>
  <si>
    <t xml:space="preserve">Progressive thinning and cone-shaped bulging of the cornea</t>
  </si>
  <si>
    <t xml:space="preserve">Frequent power change, increasing astigmatism, blur, eye rubbing</t>
  </si>
  <si>
    <t xml:space="preserve">Glasses, RGP / scleral lenses, C3R (CXL), ICRS, keratoplasty</t>
  </si>
  <si>
    <t xml:space="preserve">DIS-059</t>
  </si>
  <si>
    <t xml:space="preserve">Corneal abrasion</t>
  </si>
  <si>
    <t xml:space="preserve">Epithelial defect</t>
  </si>
  <si>
    <t xml:space="preserve">S05.0</t>
  </si>
  <si>
    <t xml:space="preserve">Aankh mein kharonch (H) / Chokhe achor (B)</t>
  </si>
  <si>
    <t xml:space="preserve">Scratch on the corneal surface</t>
  </si>
  <si>
    <t xml:space="preserve">Sharp pain, watering, photophobia, FB sensation</t>
  </si>
  <si>
    <t xml:space="preserve">Antibiotic ointment, lubricants, cycloplegic, BCL if needed</t>
  </si>
  <si>
    <t xml:space="preserve">DIS-060</t>
  </si>
  <si>
    <t xml:space="preserve">Corneal foreign body</t>
  </si>
  <si>
    <t xml:space="preserve">FB cornea</t>
  </si>
  <si>
    <t xml:space="preserve">T15.0</t>
  </si>
  <si>
    <t xml:space="preserve">Aankh mein kuch gir gaya (H) / Chokhe kichu pore geche (B)</t>
  </si>
  <si>
    <t xml:space="preserve">Particle embedded in the cornea (iron, dust, husk)</t>
  </si>
  <si>
    <t xml:space="preserve">FB sensation, watering, redness</t>
  </si>
  <si>
    <t xml:space="preserve">FB removal under slit lamp with needle, rust ring removal, antibiotic</t>
  </si>
  <si>
    <t xml:space="preserve">DIS-061</t>
  </si>
  <si>
    <t xml:space="preserve">Corneal opacity</t>
  </si>
  <si>
    <t xml:space="preserve">Nebula, macula, leucoma, adherent leucoma</t>
  </si>
  <si>
    <t xml:space="preserve">H17</t>
  </si>
  <si>
    <t xml:space="preserve">Phoola / Phuli (H) / Chokhe phool (B)</t>
  </si>
  <si>
    <t xml:space="preserve">Scarring of cornea after infection or injury</t>
  </si>
  <si>
    <t xml:space="preserve">White spot on eye, blurred vision</t>
  </si>
  <si>
    <t xml:space="preserve">Glasses / RGP, keratoplasty, cosmetic lens / tattoo</t>
  </si>
  <si>
    <t xml:space="preserve">DIS-062</t>
  </si>
  <si>
    <t xml:space="preserve">Fuchs endothelial dystrophy</t>
  </si>
  <si>
    <t xml:space="preserve">FECD, corneal guttata</t>
  </si>
  <si>
    <t xml:space="preserve">H18.5</t>
  </si>
  <si>
    <t xml:space="preserve">Endothelial cell loss causing corneal swelling</t>
  </si>
  <si>
    <t xml:space="preserve">Morning blur improving during day, glare</t>
  </si>
  <si>
    <t xml:space="preserve">Hypertonic saline, DSEK / DMEK</t>
  </si>
  <si>
    <t xml:space="preserve">DIS-063</t>
  </si>
  <si>
    <t xml:space="preserve">Bullous keratopathy</t>
  </si>
  <si>
    <t xml:space="preserve">PBK (pseudophakic bullous keratopathy)</t>
  </si>
  <si>
    <t xml:space="preserve">H18.1</t>
  </si>
  <si>
    <t xml:space="preserve">Corneal oedema with epithelial bullae after endothelial failure</t>
  </si>
  <si>
    <t xml:space="preserve">Painful blurred vision, FB sensation</t>
  </si>
  <si>
    <t xml:space="preserve">Hypertonic saline, BCL, endothelial keratoplasty</t>
  </si>
  <si>
    <t xml:space="preserve">DIS-064</t>
  </si>
  <si>
    <t xml:space="preserve">Exposure keratopathy</t>
  </si>
  <si>
    <t xml:space="preserve">Lagophthalmic keratopathy</t>
  </si>
  <si>
    <t xml:space="preserve">H16.2</t>
  </si>
  <si>
    <t xml:space="preserve">Corneal drying due to incomplete lid closure (Bell's palsy, proptosis)</t>
  </si>
  <si>
    <t xml:space="preserve">Irritation, redness, blur</t>
  </si>
  <si>
    <t xml:space="preserve">Lubricants, taping, tarsorrhaphy</t>
  </si>
  <si>
    <t xml:space="preserve">DIS-065</t>
  </si>
  <si>
    <t xml:space="preserve">Neurotrophic keratitis</t>
  </si>
  <si>
    <t xml:space="preserve">Neurotrophic keratopathy</t>
  </si>
  <si>
    <t xml:space="preserve">Corneal breakdown due to loss of corneal sensation</t>
  </si>
  <si>
    <t xml:space="preserve">Painless non-healing defect</t>
  </si>
  <si>
    <t xml:space="preserve">Lubricants, BCL, tarsorrhaphy, cenegermin</t>
  </si>
  <si>
    <t xml:space="preserve">DIS-066</t>
  </si>
  <si>
    <t xml:space="preserve">Superficial punctate keratitis</t>
  </si>
  <si>
    <t xml:space="preserve">SPK, PEE (punctate epithelial erosions)</t>
  </si>
  <si>
    <t xml:space="preserve">H16.1</t>
  </si>
  <si>
    <t xml:space="preserve">Fine spots of epithelial damage on cornea</t>
  </si>
  <si>
    <t xml:space="preserve">Irritation, photophobia</t>
  </si>
  <si>
    <t xml:space="preserve">Treat cause; lubricants</t>
  </si>
  <si>
    <t xml:space="preserve">DIS-067</t>
  </si>
  <si>
    <t xml:space="preserve">Photokeratitis</t>
  </si>
  <si>
    <t xml:space="preserve">Welding arc eye, snow blindness, UV keratitis</t>
  </si>
  <si>
    <t xml:space="preserve">Welding se aankh jalna (H) / Welding-e chokh jwala (B)</t>
  </si>
  <si>
    <t xml:space="preserve">UV burn of corneal epithelium</t>
  </si>
  <si>
    <t xml:space="preserve">Severe pain, watering, photophobia hours after exposure</t>
  </si>
  <si>
    <t xml:space="preserve">Lubricating ointment, cycloplegic, analgesics</t>
  </si>
  <si>
    <t xml:space="preserve">DIS-068</t>
  </si>
  <si>
    <t xml:space="preserve">Corneal graft rejection</t>
  </si>
  <si>
    <t xml:space="preserve">Keratoplasty rejection</t>
  </si>
  <si>
    <t xml:space="preserve">T86.84 (CM)</t>
  </si>
  <si>
    <t xml:space="preserve">Immune rejection of a corneal transplant</t>
  </si>
  <si>
    <t xml:space="preserve">Redness, blur, photophobia, pain (RSVP)</t>
  </si>
  <si>
    <t xml:space="preserve">Intensive topical steroids</t>
  </si>
  <si>
    <t xml:space="preserve">DIS-069</t>
  </si>
  <si>
    <t xml:space="preserve">Arcus senilis</t>
  </si>
  <si>
    <t xml:space="preserve">Corneal arcus</t>
  </si>
  <si>
    <t xml:space="preserve">H18.4</t>
  </si>
  <si>
    <t xml:space="preserve">Grey-white ring at corneal periphery with age / lipids</t>
  </si>
  <si>
    <t xml:space="preserve">Check lipids if young; no treatment</t>
  </si>
  <si>
    <t xml:space="preserve">DIS-070</t>
  </si>
  <si>
    <t xml:space="preserve">External hordeolum</t>
  </si>
  <si>
    <t xml:space="preserve">Stye</t>
  </si>
  <si>
    <t xml:space="preserve">H00.0</t>
  </si>
  <si>
    <t xml:space="preserve">Anjani / Gohanjani (H) / Anjani (B)</t>
  </si>
  <si>
    <t xml:space="preserve">Acute infection of a lash follicle gland (Zeis / Moll)</t>
  </si>
  <si>
    <t xml:space="preserve">Painful red swelling at lid margin, pus point</t>
  </si>
  <si>
    <t xml:space="preserve">Warm compress, antibiotic ointment, epilation of lash</t>
  </si>
  <si>
    <t xml:space="preserve">DIS-071</t>
  </si>
  <si>
    <t xml:space="preserve">Internal hordeolum</t>
  </si>
  <si>
    <t xml:space="preserve">Acute meibomitis</t>
  </si>
  <si>
    <t xml:space="preserve">Anjani (H) / Anjani (B)</t>
  </si>
  <si>
    <t xml:space="preserve">Acute infection of a meibomian gland</t>
  </si>
  <si>
    <t xml:space="preserve">Painful swelling within lid</t>
  </si>
  <si>
    <t xml:space="preserve">Warm compress, antibiotics, I&amp;C if needed</t>
  </si>
  <si>
    <t xml:space="preserve">DIS-072</t>
  </si>
  <si>
    <t xml:space="preserve">Chalazion</t>
  </si>
  <si>
    <t xml:space="preserve">Meibomian cyst</t>
  </si>
  <si>
    <t xml:space="preserve">H00.1</t>
  </si>
  <si>
    <t xml:space="preserve">Palak mein gaanth (H) / Chokher patay gutli (B)</t>
  </si>
  <si>
    <t xml:space="preserve">Chronic painless lump from blocked meibomian gland</t>
  </si>
  <si>
    <t xml:space="preserve">Painless lid lump</t>
  </si>
  <si>
    <t xml:space="preserve">Warm compress, lid massage; I&amp;C (incision &amp; curettage), intralesional steroid</t>
  </si>
  <si>
    <t xml:space="preserve">DIS-073</t>
  </si>
  <si>
    <t xml:space="preserve">Blepharitis</t>
  </si>
  <si>
    <t xml:space="preserve">Anterior / posterior blepharitis, squamous blepharitis</t>
  </si>
  <si>
    <t xml:space="preserve">H01.0</t>
  </si>
  <si>
    <t xml:space="preserve">Palkon mein rusi (H) / Chokher patay khushki (B)</t>
  </si>
  <si>
    <t xml:space="preserve">Chronic inflammation of the lid margins</t>
  </si>
  <si>
    <t xml:space="preserve">Itchy red lids, crusting at lashes, burning</t>
  </si>
  <si>
    <t xml:space="preserve">Lid hygiene, warm compress, antibiotic ointment, tea-tree oil</t>
  </si>
  <si>
    <t xml:space="preserve">DIS-074</t>
  </si>
  <si>
    <t xml:space="preserve">Demodex blepharitis</t>
  </si>
  <si>
    <t xml:space="preserve">Demodicosis</t>
  </si>
  <si>
    <t xml:space="preserve">B88.0</t>
  </si>
  <si>
    <t xml:space="preserve">Lid margin inflammation from Demodex mites; cylindrical dandruff</t>
  </si>
  <si>
    <t xml:space="preserve">Itching, lash crusts</t>
  </si>
  <si>
    <t xml:space="preserve">Tea-tree oil lid wipes, ivermectin / lotilaner</t>
  </si>
  <si>
    <t xml:space="preserve">DIS-075</t>
  </si>
  <si>
    <t xml:space="preserve">Ptosis</t>
  </si>
  <si>
    <t xml:space="preserve">Blepharoptosis</t>
  </si>
  <si>
    <t xml:space="preserve">H02.4</t>
  </si>
  <si>
    <t xml:space="preserve">Palak girna (H) / Chokher pata pore jawa (B)</t>
  </si>
  <si>
    <t xml:space="preserve">Drooping of the upper eyelid</t>
  </si>
  <si>
    <t xml:space="preserve">Heavy lid, narrowed eye, blocked upper vision</t>
  </si>
  <si>
    <t xml:space="preserve">Ptosis surgery (LPS resection, frontalis sling); rule out 3rd nerve palsy / myasthenia</t>
  </si>
  <si>
    <t xml:space="preserve">DIS-076</t>
  </si>
  <si>
    <t xml:space="preserve">Congenital ptosis</t>
  </si>
  <si>
    <t xml:space="preserve">Q10.0</t>
  </si>
  <si>
    <t xml:space="preserve">Drooping lid present from birth due to poorly developed levator</t>
  </si>
  <si>
    <t xml:space="preserve">Droopy lid, chin-up posture</t>
  </si>
  <si>
    <t xml:space="preserve">Surgery; watch for amblyopia</t>
  </si>
  <si>
    <t xml:space="preserve">DIS-077</t>
  </si>
  <si>
    <t xml:space="preserve">Entropion</t>
  </si>
  <si>
    <t xml:space="preserve">Senile / cicatricial entropion</t>
  </si>
  <si>
    <t xml:space="preserve">H02.0</t>
  </si>
  <si>
    <t xml:space="preserve">Palak andar mudna (H) / Chokher pata bhitore bhanja (B)</t>
  </si>
  <si>
    <t xml:space="preserve">Inward turning of lid margin</t>
  </si>
  <si>
    <t xml:space="preserve">Lashes rub the eye, irritation, watering</t>
  </si>
  <si>
    <t xml:space="preserve">Lid surgery (lateral tarsal strip, everting sutures)</t>
  </si>
  <si>
    <t xml:space="preserve">DIS-078</t>
  </si>
  <si>
    <t xml:space="preserve">Ectropion</t>
  </si>
  <si>
    <t xml:space="preserve">Senile / paralytic ectropion</t>
  </si>
  <si>
    <t xml:space="preserve">H02.1</t>
  </si>
  <si>
    <t xml:space="preserve">Palak bahar mudna (H) / Chokher pata baire ulte jawa (B)</t>
  </si>
  <si>
    <t xml:space="preserve">Outward turning of lid margin</t>
  </si>
  <si>
    <t xml:space="preserve">Watering, redness, exposure</t>
  </si>
  <si>
    <t xml:space="preserve">Lid surgery</t>
  </si>
  <si>
    <t xml:space="preserve">DIS-079</t>
  </si>
  <si>
    <t xml:space="preserve">Trichiasis</t>
  </si>
  <si>
    <t xml:space="preserve">Misdirected lashes</t>
  </si>
  <si>
    <t xml:space="preserve">Ulte baal (H) / Ulto chokher lom (B)</t>
  </si>
  <si>
    <t xml:space="preserve">Lashes growing inward towards eye</t>
  </si>
  <si>
    <t xml:space="preserve">Irritation, FB sensation, watering</t>
  </si>
  <si>
    <t xml:space="preserve">Epilation, electrolysis, cryo, surgery</t>
  </si>
  <si>
    <t xml:space="preserve">DIS-080</t>
  </si>
  <si>
    <t xml:space="preserve">Dermatochalasis</t>
  </si>
  <si>
    <t xml:space="preserve">Baggy lids</t>
  </si>
  <si>
    <t xml:space="preserve">H02.8</t>
  </si>
  <si>
    <t xml:space="preserve">Excess upper lid skin with age</t>
  </si>
  <si>
    <t xml:space="preserve">Heaviness, upper field reduction</t>
  </si>
  <si>
    <t xml:space="preserve">Blepharoplasty</t>
  </si>
  <si>
    <t xml:space="preserve">DIS-081</t>
  </si>
  <si>
    <t xml:space="preserve">Lagophthalmos</t>
  </si>
  <si>
    <t xml:space="preserve">Incomplete lid closure</t>
  </si>
  <si>
    <t xml:space="preserve">H02.2</t>
  </si>
  <si>
    <t xml:space="preserve">Aankh band na hona (H) / Chokh bondho na hoa (B)</t>
  </si>
  <si>
    <t xml:space="preserve">Inability to close eyelids fully (Bell's palsy etc.)</t>
  </si>
  <si>
    <t xml:space="preserve">Dryness, watering, exposure</t>
  </si>
  <si>
    <t xml:space="preserve">Lubricants, taping, gold weight, tarsorrhaphy</t>
  </si>
  <si>
    <t xml:space="preserve">DIS-082</t>
  </si>
  <si>
    <t xml:space="preserve">Blepharospasm</t>
  </si>
  <si>
    <t xml:space="preserve">Benign essential blepharospasm</t>
  </si>
  <si>
    <t xml:space="preserve">G24.5</t>
  </si>
  <si>
    <t xml:space="preserve">Involuntary forceful lid closure</t>
  </si>
  <si>
    <t xml:space="preserve">Uncontrollable blinking / closing</t>
  </si>
  <si>
    <t xml:space="preserve">Botulinum toxin injection</t>
  </si>
  <si>
    <t xml:space="preserve">DIS-083</t>
  </si>
  <si>
    <t xml:space="preserve">Eyelid myokymia</t>
  </si>
  <si>
    <t xml:space="preserve">Lid twitching</t>
  </si>
  <si>
    <t xml:space="preserve">G25.8</t>
  </si>
  <si>
    <t xml:space="preserve">Palak phadakna (H) / Chokh narachhe (B)</t>
  </si>
  <si>
    <t xml:space="preserve">Benign fine twitching of lid muscle</t>
  </si>
  <si>
    <t xml:space="preserve">Twitching lid</t>
  </si>
  <si>
    <t xml:space="preserve">Reassurance, sleep, reduce caffeine / screen</t>
  </si>
  <si>
    <t xml:space="preserve">DIS-084</t>
  </si>
  <si>
    <t xml:space="preserve">Basal cell carcinoma of eyelid</t>
  </si>
  <si>
    <t xml:space="preserve">BCC, rodent ulcer</t>
  </si>
  <si>
    <t xml:space="preserve">C44.1</t>
  </si>
  <si>
    <t xml:space="preserve">Most common malignant eyelid tumour</t>
  </si>
  <si>
    <t xml:space="preserve">Non-healing nodule / ulcer, lash loss</t>
  </si>
  <si>
    <t xml:space="preserve">Excision with margin control, reconstruction</t>
  </si>
  <si>
    <t xml:space="preserve">DIS-085</t>
  </si>
  <si>
    <t xml:space="preserve">Xanthelasma</t>
  </si>
  <si>
    <t xml:space="preserve">Xanthelasma palpebrarum</t>
  </si>
  <si>
    <t xml:space="preserve">H02.6</t>
  </si>
  <si>
    <t xml:space="preserve">Yellow cholesterol plaques on eyelids</t>
  </si>
  <si>
    <t xml:space="preserve">Cosmetic</t>
  </si>
  <si>
    <t xml:space="preserve">Check lipids; excision / laser</t>
  </si>
  <si>
    <t xml:space="preserve">DIS-086</t>
  </si>
  <si>
    <t xml:space="preserve">Nasolacrimal duct obstruction</t>
  </si>
  <si>
    <t xml:space="preserve">NLDO, blocked tear duct</t>
  </si>
  <si>
    <t xml:space="preserve">H04.5</t>
  </si>
  <si>
    <t xml:space="preserve">Aankh se paani aana (H) / Chokh diye jol pora (B)</t>
  </si>
  <si>
    <t xml:space="preserve">Blockage of tear drainage duct</t>
  </si>
  <si>
    <t xml:space="preserve">Constant watering, sticky discharge</t>
  </si>
  <si>
    <t xml:space="preserve">Syringing, DCR (external / endoscopic)</t>
  </si>
  <si>
    <t xml:space="preserve">DIS-087</t>
  </si>
  <si>
    <t xml:space="preserve">Congenital NLDO</t>
  </si>
  <si>
    <t xml:space="preserve">CNLDO</t>
  </si>
  <si>
    <t xml:space="preserve">Q10.5</t>
  </si>
  <si>
    <t xml:space="preserve">Bachche ki aankh se paani (H) / Bachchar chokhe jol (B)</t>
  </si>
  <si>
    <t xml:space="preserve">Blocked tear duct in infants</t>
  </si>
  <si>
    <t xml:space="preserve">Watering and discharge since birth</t>
  </si>
  <si>
    <t xml:space="preserve">Crigler (lacrimal sac) massage, antibiotic drops, probing after 1 year</t>
  </si>
  <si>
    <t xml:space="preserve">DIS-088</t>
  </si>
  <si>
    <t xml:space="preserve">Acute dacryocystitis</t>
  </si>
  <si>
    <t xml:space="preserve">Lacrimal abscess</t>
  </si>
  <si>
    <t xml:space="preserve">H04.3</t>
  </si>
  <si>
    <t xml:space="preserve">Naak ke paas sujan (H) / Naker pashe phola (B)</t>
  </si>
  <si>
    <t xml:space="preserve">Acute infection of lacrimal sac</t>
  </si>
  <si>
    <t xml:space="preserve">Painful red swelling at inner corner, watering, pus</t>
  </si>
  <si>
    <t xml:space="preserve">Systemic antibiotics, warm compress, later DCR</t>
  </si>
  <si>
    <t xml:space="preserve">DIS-089</t>
  </si>
  <si>
    <t xml:space="preserve">Chronic dacryocystitis</t>
  </si>
  <si>
    <t xml:space="preserve">H04.4</t>
  </si>
  <si>
    <t xml:space="preserve">Chronic sac infection from NLDO; ROPLAS positive</t>
  </si>
  <si>
    <t xml:space="preserve">Watering, mucopurulent regurgitation on pressure</t>
  </si>
  <si>
    <t xml:space="preserve">DCR / DCT</t>
  </si>
  <si>
    <t xml:space="preserve">DIS-090</t>
  </si>
  <si>
    <t xml:space="preserve">Dacryoadenitis</t>
  </si>
  <si>
    <t xml:space="preserve">H04.0</t>
  </si>
  <si>
    <t xml:space="preserve">Inflammation of the lacrimal gland</t>
  </si>
  <si>
    <t xml:space="preserve">Swelling of upper outer lid (S-shaped lid)</t>
  </si>
  <si>
    <t xml:space="preserve">Antibiotics / anti-inflammatory</t>
  </si>
  <si>
    <t xml:space="preserve">DIS-091</t>
  </si>
  <si>
    <t xml:space="preserve">Anterior uveitis</t>
  </si>
  <si>
    <t xml:space="preserve">Iritis, iridocyclitis, AAU (acute anterior uveitis)</t>
  </si>
  <si>
    <t xml:space="preserve">H20.0</t>
  </si>
  <si>
    <t xml:space="preserve">Aankh mein sujan / laali aur roshni se chubhan (H)</t>
  </si>
  <si>
    <t xml:space="preserve">Inflammation of the iris and ciliary body</t>
  </si>
  <si>
    <t xml:space="preserve">Pain, redness (circumcorneal), photophobia, blur</t>
  </si>
  <si>
    <t xml:space="preserve">Topical steroid (prednisolone acetate), cycloplegic (atropine / homatropine), workup (HLA-B27)</t>
  </si>
  <si>
    <t xml:space="preserve">DIS-092</t>
  </si>
  <si>
    <t xml:space="preserve">Intermediate uveitis</t>
  </si>
  <si>
    <t xml:space="preserve">Pars planitis</t>
  </si>
  <si>
    <t xml:space="preserve">H30.2</t>
  </si>
  <si>
    <t xml:space="preserve">Inflammation mainly of vitreous and pars plana</t>
  </si>
  <si>
    <t xml:space="preserve">Floaters, blur, painless</t>
  </si>
  <si>
    <t xml:space="preserve">Periocular / systemic steroid, immunosuppression</t>
  </si>
  <si>
    <t xml:space="preserve">DIS-093</t>
  </si>
  <si>
    <t xml:space="preserve">Posterior uveitis / choroiditis</t>
  </si>
  <si>
    <t xml:space="preserve">Retinochoroiditis, choroiditis</t>
  </si>
  <si>
    <t xml:space="preserve">H30</t>
  </si>
  <si>
    <t xml:space="preserve">Inflammation of choroid / retina</t>
  </si>
  <si>
    <t xml:space="preserve">Floaters, blur, scotomas</t>
  </si>
  <si>
    <t xml:space="preserve">Treat cause (TB, toxo), steroids, immunosuppressants</t>
  </si>
  <si>
    <t xml:space="preserve">DIS-094</t>
  </si>
  <si>
    <t xml:space="preserve">Panuveitis</t>
  </si>
  <si>
    <t xml:space="preserve">Diffuse uveitis</t>
  </si>
  <si>
    <t xml:space="preserve">H44.1</t>
  </si>
  <si>
    <t xml:space="preserve">Inflammation of all uveal layers</t>
  </si>
  <si>
    <t xml:space="preserve">Pain, redness, blur, floaters</t>
  </si>
  <si>
    <t xml:space="preserve">Systemic steroids, immunosuppression</t>
  </si>
  <si>
    <t xml:space="preserve">DIS-095</t>
  </si>
  <si>
    <t xml:space="preserve">Vogt–Koyanagi–Harada disease</t>
  </si>
  <si>
    <t xml:space="preserve">VKH</t>
  </si>
  <si>
    <t xml:space="preserve">H30.8</t>
  </si>
  <si>
    <t xml:space="preserve">Bilateral autoimmune panuveitis with serous RD, meningism, vitiligo</t>
  </si>
  <si>
    <t xml:space="preserve">Bilateral blur, headache, tinnitus</t>
  </si>
  <si>
    <t xml:space="preserve">High-dose systemic steroids, immunosuppression</t>
  </si>
  <si>
    <t xml:space="preserve">DIS-096</t>
  </si>
  <si>
    <t xml:space="preserve">Toxoplasma retinochoroiditis</t>
  </si>
  <si>
    <t xml:space="preserve">Ocular toxoplasmosis</t>
  </si>
  <si>
    <t xml:space="preserve">B58.0</t>
  </si>
  <si>
    <t xml:space="preserve">Parasitic retinochoroiditis, "headlight in fog"</t>
  </si>
  <si>
    <t xml:space="preserve">Floaters, blur</t>
  </si>
  <si>
    <t xml:space="preserve">Cotrimoxazole / pyrimethamine regimen + steroid</t>
  </si>
  <si>
    <t xml:space="preserve">DIS-097</t>
  </si>
  <si>
    <t xml:space="preserve">Endophthalmitis</t>
  </si>
  <si>
    <t xml:space="preserve">Post-operative / endogenous endophthalmitis</t>
  </si>
  <si>
    <t xml:space="preserve">H44.0</t>
  </si>
  <si>
    <t xml:space="preserve">Severe intraocular infection — emergency, often after surgery</t>
  </si>
  <si>
    <t xml:space="preserve">Pain, sudden drop in vision, redness, hypopyon days after surgery</t>
  </si>
  <si>
    <t xml:space="preserve">Vitreous tap + intravitreal antibiotics (vancomycin + ceftazidime), vitrectomy</t>
  </si>
  <si>
    <t xml:space="preserve">DIS-098</t>
  </si>
  <si>
    <t xml:space="preserve">Sympathetic ophthalmia</t>
  </si>
  <si>
    <t xml:space="preserve">Bilateral granulomatous uveitis after injury to one eye</t>
  </si>
  <si>
    <t xml:space="preserve">Inflammation in the uninjured eye</t>
  </si>
  <si>
    <t xml:space="preserve">Systemic steroids, immunosuppressants</t>
  </si>
  <si>
    <t xml:space="preserve">DIS-099</t>
  </si>
  <si>
    <t xml:space="preserve">Scleritis</t>
  </si>
  <si>
    <t xml:space="preserve">Anterior / necrotising scleritis</t>
  </si>
  <si>
    <t xml:space="preserve">H15.0</t>
  </si>
  <si>
    <t xml:space="preserve">Severe inflammation of sclera, often with systemic autoimmune disease</t>
  </si>
  <si>
    <t xml:space="preserve">Deep boring pain waking from sleep, redness, tenderness</t>
  </si>
  <si>
    <t xml:space="preserve">Oral NSAIDs / steroids, immunosuppressants, systemic workup</t>
  </si>
  <si>
    <t xml:space="preserve">DIS-100</t>
  </si>
  <si>
    <t xml:space="preserve">Episcleritis</t>
  </si>
  <si>
    <t xml:space="preserve">Simple / nodular episcleritis</t>
  </si>
  <si>
    <t xml:space="preserve">H15.1</t>
  </si>
  <si>
    <t xml:space="preserve">Mild self-limiting inflammation of episclera</t>
  </si>
  <si>
    <t xml:space="preserve">Sectoral redness, mild discomfort</t>
  </si>
  <si>
    <t xml:space="preserve">Lubricants, topical NSAID / mild steroid</t>
  </si>
  <si>
    <t xml:space="preserve">DIS-101</t>
  </si>
  <si>
    <t xml:space="preserve">Diabetic retinopathy</t>
  </si>
  <si>
    <t xml:space="preserve">DR, NPDR (mild / moderate / severe), PDR</t>
  </si>
  <si>
    <t xml:space="preserve">E11.3 / H36.0</t>
  </si>
  <si>
    <t xml:space="preserve">Sugar se aankh kharab (H) / Sugar-er jonno chokh kharap (B)</t>
  </si>
  <si>
    <t xml:space="preserve">Retinal microvascular damage from diabetes</t>
  </si>
  <si>
    <t xml:space="preserve">Often none early; blur, floaters, sudden loss if bleed</t>
  </si>
  <si>
    <t xml:space="preserve">Sugar / BP control, annual dilated exam, PRP laser, anti-VEGF, vitrectomy</t>
  </si>
  <si>
    <t xml:space="preserve">DIS-102</t>
  </si>
  <si>
    <t xml:space="preserve">Diabetic macular oedema</t>
  </si>
  <si>
    <t xml:space="preserve">DME, CSME (clinically significant macular oedema)</t>
  </si>
  <si>
    <t xml:space="preserve">E11.3</t>
  </si>
  <si>
    <t xml:space="preserve">Swelling of macula from leaking vessels in diabetes</t>
  </si>
  <si>
    <t xml:space="preserve">Central blur, distortion</t>
  </si>
  <si>
    <t xml:space="preserve">Anti-VEGF injections, focal / grid laser, steroid implant</t>
  </si>
  <si>
    <t xml:space="preserve">DIS-103</t>
  </si>
  <si>
    <t xml:space="preserve">Hypertensive retinopathy</t>
  </si>
  <si>
    <t xml:space="preserve">HTN retinopathy (Keith–Wagener grades)</t>
  </si>
  <si>
    <t xml:space="preserve">H35.0</t>
  </si>
  <si>
    <t xml:space="preserve">BP se aankh kharab (H) / Pressure-er jonno chokh (B)</t>
  </si>
  <si>
    <t xml:space="preserve">Retinal vascular changes from high blood pressure</t>
  </si>
  <si>
    <t xml:space="preserve">Usually none; blur in malignant HTN</t>
  </si>
  <si>
    <t xml:space="preserve">BP control</t>
  </si>
  <si>
    <t xml:space="preserve">DIS-104</t>
  </si>
  <si>
    <t xml:space="preserve">Dry age-related macular degeneration</t>
  </si>
  <si>
    <t xml:space="preserve">Dry ARMD / AMD, geographic atrophy</t>
  </si>
  <si>
    <t xml:space="preserve">H35.3</t>
  </si>
  <si>
    <t xml:space="preserve">Degeneration of the macula with drusen / atrophy</t>
  </si>
  <si>
    <t xml:space="preserve">Slow central blur, difficulty reading, distortion</t>
  </si>
  <si>
    <t xml:space="preserve">AREDS2 supplements, Amsler grid monitoring, low-vision aids</t>
  </si>
  <si>
    <t xml:space="preserve">DIS-105</t>
  </si>
  <si>
    <t xml:space="preserve">Wet age-related macular degeneration</t>
  </si>
  <si>
    <t xml:space="preserve">Wet / neovascular AMD, CNVM</t>
  </si>
  <si>
    <t xml:space="preserve">Abnormal vessels under macula leak fluid / blood</t>
  </si>
  <si>
    <t xml:space="preserve">Rapid central blur, distortion (wavy lines), dark spot</t>
  </si>
  <si>
    <t xml:space="preserve">Intravitreal anti-VEGF (ranibizumab, aflibercept, faricimab)</t>
  </si>
  <si>
    <t xml:space="preserve">DIS-106</t>
  </si>
  <si>
    <t xml:space="preserve">Retinal detachment</t>
  </si>
  <si>
    <t xml:space="preserve">RD, RRD (rhegmatogenous), tractional, exudative</t>
  </si>
  <si>
    <t xml:space="preserve">H33.0</t>
  </si>
  <si>
    <t xml:space="preserve">Parda hatna (H) / Porda sore jawa (B)</t>
  </si>
  <si>
    <t xml:space="preserve">Separation of retina from underlying layer — emergency</t>
  </si>
  <si>
    <t xml:space="preserve">Flashes, sudden floaters, curtain / shadow over vision</t>
  </si>
  <si>
    <t xml:space="preserve">Scleral buckle, vitrectomy with gas / silicone oil, pneumatic retinopexy</t>
  </si>
  <si>
    <t xml:space="preserve">DIS-107</t>
  </si>
  <si>
    <t xml:space="preserve">Retinal tear / hole</t>
  </si>
  <si>
    <t xml:space="preserve">Horseshoe tear, atrophic hole</t>
  </si>
  <si>
    <t xml:space="preserve">H33.3</t>
  </si>
  <si>
    <t xml:space="preserve">Break in the retina that can lead to RD</t>
  </si>
  <si>
    <t xml:space="preserve">Flashes, floaters</t>
  </si>
  <si>
    <t xml:space="preserve">Laser barrage / cryopexy</t>
  </si>
  <si>
    <t xml:space="preserve">DIS-108</t>
  </si>
  <si>
    <t xml:space="preserve">Central retinal vein occlusion</t>
  </si>
  <si>
    <t xml:space="preserve">CRVO</t>
  </si>
  <si>
    <t xml:space="preserve">H34.8</t>
  </si>
  <si>
    <t xml:space="preserve">Blockage of main retinal vein; "blood and thunder" fundus</t>
  </si>
  <si>
    <t xml:space="preserve">Sudden painless blur in one eye</t>
  </si>
  <si>
    <t xml:space="preserve">Anti-VEGF for macular oedema, PRP if neovascularisation, control BP / sugar</t>
  </si>
  <si>
    <t xml:space="preserve">DIS-109</t>
  </si>
  <si>
    <t xml:space="preserve">Branch retinal vein occlusion</t>
  </si>
  <si>
    <t xml:space="preserve">BRVO</t>
  </si>
  <si>
    <t xml:space="preserve">Blockage of a branch retinal vein</t>
  </si>
  <si>
    <t xml:space="preserve">Partial / sectoral blur</t>
  </si>
  <si>
    <t xml:space="preserve">Anti-VEGF, sectoral laser</t>
  </si>
  <si>
    <t xml:space="preserve">DIS-110</t>
  </si>
  <si>
    <t xml:space="preserve">Central retinal artery occlusion</t>
  </si>
  <si>
    <t xml:space="preserve">CRAO, "eye stroke"</t>
  </si>
  <si>
    <t xml:space="preserve">H34.1</t>
  </si>
  <si>
    <t xml:space="preserve">Blockage of the central retinal artery; cherry-red spot</t>
  </si>
  <si>
    <t xml:space="preserve">Sudden painless severe vision loss</t>
  </si>
  <si>
    <t xml:space="preserve">Emergency: ocular massage, lower IOP, stroke workup (carotid, heart)</t>
  </si>
  <si>
    <t xml:space="preserve">DIS-111</t>
  </si>
  <si>
    <t xml:space="preserve">Branch retinal artery occlusion</t>
  </si>
  <si>
    <t xml:space="preserve">BRAO</t>
  </si>
  <si>
    <t xml:space="preserve">H34.2</t>
  </si>
  <si>
    <t xml:space="preserve">Blockage of a branch retinal artery</t>
  </si>
  <si>
    <t xml:space="preserve">Sudden sectoral field loss</t>
  </si>
  <si>
    <t xml:space="preserve">Stroke / embolic workup</t>
  </si>
  <si>
    <t xml:space="preserve">DIS-112</t>
  </si>
  <si>
    <t xml:space="preserve">Central serous chorioretinopathy</t>
  </si>
  <si>
    <t xml:space="preserve">CSCR / CSR</t>
  </si>
  <si>
    <t xml:space="preserve">H35.7</t>
  </si>
  <si>
    <t xml:space="preserve">Fluid under macula, often in stressed young men / steroid users</t>
  </si>
  <si>
    <t xml:space="preserve">Central blur, dim / distorted vision, micropsia</t>
  </si>
  <si>
    <t xml:space="preserve">Observation, stop steroids, PDT / laser if chronic</t>
  </si>
  <si>
    <t xml:space="preserve">DIS-113</t>
  </si>
  <si>
    <t xml:space="preserve">Macular hole</t>
  </si>
  <si>
    <t xml:space="preserve">FTMH (full-thickness macular hole)</t>
  </si>
  <si>
    <t xml:space="preserve">Full-thickness defect in the fovea</t>
  </si>
  <si>
    <t xml:space="preserve">Central blur, dark spot, distortion</t>
  </si>
  <si>
    <t xml:space="preserve">Vitrectomy with ILM peel and gas, face-down positioning</t>
  </si>
  <si>
    <t xml:space="preserve">DIS-114</t>
  </si>
  <si>
    <t xml:space="preserve">Epiretinal membrane</t>
  </si>
  <si>
    <t xml:space="preserve">ERM, macular pucker, cellophane maculopathy</t>
  </si>
  <si>
    <t xml:space="preserve">Thin fibrous membrane on macular surface</t>
  </si>
  <si>
    <t xml:space="preserve">Distortion, blur</t>
  </si>
  <si>
    <t xml:space="preserve">Observation; vitrectomy with membrane peel</t>
  </si>
  <si>
    <t xml:space="preserve">DIS-115</t>
  </si>
  <si>
    <t xml:space="preserve">Cystoid macular oedema</t>
  </si>
  <si>
    <t xml:space="preserve">CME, Irvine–Gass syndrome (post-cataract)</t>
  </si>
  <si>
    <t xml:space="preserve">Fluid cysts in macula, e.g., after cataract surgery or uveitis</t>
  </si>
  <si>
    <t xml:space="preserve">Blur weeks after surgery</t>
  </si>
  <si>
    <t xml:space="preserve">Topical NSAID + steroid, periocular / intravitreal steroid</t>
  </si>
  <si>
    <t xml:space="preserve">DIS-116</t>
  </si>
  <si>
    <t xml:space="preserve">Retinitis pigmentosa</t>
  </si>
  <si>
    <t xml:space="preserve">RP, rod-cone dystrophy</t>
  </si>
  <si>
    <t xml:space="preserve">H35.5</t>
  </si>
  <si>
    <t xml:space="preserve">Ratondhi (H) / Raatkana (B)</t>
  </si>
  <si>
    <t xml:space="preserve">Inherited degeneration of photoreceptors</t>
  </si>
  <si>
    <t xml:space="preserve">Night blindness, tunnel vision</t>
  </si>
  <si>
    <t xml:space="preserve">Low-vision aids, genetic counselling</t>
  </si>
  <si>
    <t xml:space="preserve">DIS-117</t>
  </si>
  <si>
    <t xml:space="preserve">Retinopathy of prematurity</t>
  </si>
  <si>
    <t xml:space="preserve">ROP</t>
  </si>
  <si>
    <t xml:space="preserve">H35.1</t>
  </si>
  <si>
    <t xml:space="preserve">Abnormal retinal vessel growth in premature babies</t>
  </si>
  <si>
    <t xml:space="preserve">Detected on screening</t>
  </si>
  <si>
    <t xml:space="preserve">ROP screening, laser, anti-VEGF</t>
  </si>
  <si>
    <t xml:space="preserve">DIS-118</t>
  </si>
  <si>
    <t xml:space="preserve">Vitreous haemorrhage</t>
  </si>
  <si>
    <t xml:space="preserve">VH</t>
  </si>
  <si>
    <t xml:space="preserve">H43.1</t>
  </si>
  <si>
    <t xml:space="preserve">Aankh mein khoon ka parda (H)</t>
  </si>
  <si>
    <t xml:space="preserve">Bleeding into the vitreous (PDR, tear, CRVO, trauma)</t>
  </si>
  <si>
    <t xml:space="preserve">Sudden floaters / cobwebs, painless vision loss</t>
  </si>
  <si>
    <t xml:space="preserve">B-scan, observation, laser, vitrectomy</t>
  </si>
  <si>
    <t xml:space="preserve">DIS-119</t>
  </si>
  <si>
    <t xml:space="preserve">Posterior vitreous detachment</t>
  </si>
  <si>
    <t xml:space="preserve">PVD, Weiss ring</t>
  </si>
  <si>
    <t xml:space="preserve">H43.8</t>
  </si>
  <si>
    <t xml:space="preserve">Vitreous gel separates from retina with age</t>
  </si>
  <si>
    <t xml:space="preserve">Sudden floaters, flashes</t>
  </si>
  <si>
    <t xml:space="preserve">Dilated retina exam to rule out tear; reassurance</t>
  </si>
  <si>
    <t xml:space="preserve">DIS-120</t>
  </si>
  <si>
    <t xml:space="preserve">Vitreous floaters</t>
  </si>
  <si>
    <t xml:space="preserve">Muscae volitantes, vitreous degeneration / syneresis</t>
  </si>
  <si>
    <t xml:space="preserve">H43.3</t>
  </si>
  <si>
    <t xml:space="preserve">Aankh ke aage machhar udna (H) / Chokher samne poka ora (B)</t>
  </si>
  <si>
    <t xml:space="preserve">Clumps in vitreous gel casting shadows</t>
  </si>
  <si>
    <t xml:space="preserve">Moving dots / cobwebs</t>
  </si>
  <si>
    <t xml:space="preserve">Reassurance after dilated exam</t>
  </si>
  <si>
    <t xml:space="preserve">DIS-121</t>
  </si>
  <si>
    <t xml:space="preserve">Lattice degeneration</t>
  </si>
  <si>
    <t xml:space="preserve">Peripheral retinal degeneration</t>
  </si>
  <si>
    <t xml:space="preserve">H35.4</t>
  </si>
  <si>
    <t xml:space="preserve">Thin peripheral retina prone to holes, common in myopes</t>
  </si>
  <si>
    <t xml:space="preserve">Periodic exam, prophylactic laser if high risk</t>
  </si>
  <si>
    <t xml:space="preserve">DIS-122</t>
  </si>
  <si>
    <t xml:space="preserve">Myopic maculopathy</t>
  </si>
  <si>
    <t xml:space="preserve">Pathological myopia, myopic CNV, Fuchs spot</t>
  </si>
  <si>
    <t xml:space="preserve">H44.2</t>
  </si>
  <si>
    <t xml:space="preserve">Degenerative macular changes in high myopia</t>
  </si>
  <si>
    <t xml:space="preserve">Anti-VEGF for CNV, low-vision aids</t>
  </si>
  <si>
    <t xml:space="preserve">DIS-123</t>
  </si>
  <si>
    <t xml:space="preserve">Retinoblastoma</t>
  </si>
  <si>
    <t xml:space="preserve">RB</t>
  </si>
  <si>
    <t xml:space="preserve">C69.2</t>
  </si>
  <si>
    <t xml:space="preserve">Bachche ki aankh mein safed chamak (H)</t>
  </si>
  <si>
    <t xml:space="preserve">Malignant retinal tumour of childhood</t>
  </si>
  <si>
    <t xml:space="preserve">White pupillary reflex (cat's eye reflex), squint</t>
  </si>
  <si>
    <t xml:space="preserve">Chemotherapy, laser / cryo, enucleation</t>
  </si>
  <si>
    <t xml:space="preserve">DIS-124</t>
  </si>
  <si>
    <t xml:space="preserve">Optic neuritis</t>
  </si>
  <si>
    <t xml:space="preserve">Retrobulbar neuritis, papillitis</t>
  </si>
  <si>
    <t xml:space="preserve">H46</t>
  </si>
  <si>
    <t xml:space="preserve">Inflammation of the optic nerve (MS, idiopathic)</t>
  </si>
  <si>
    <t xml:space="preserve">Sudden vision loss with pain on eye movement, colour desaturation</t>
  </si>
  <si>
    <t xml:space="preserve">IV methylprednisolone (ONTT protocol), MRI brain</t>
  </si>
  <si>
    <t xml:space="preserve">DIS-125</t>
  </si>
  <si>
    <t xml:space="preserve">Papilloedema</t>
  </si>
  <si>
    <t xml:space="preserve">Disc oedema from raised ICP</t>
  </si>
  <si>
    <t xml:space="preserve">H47.1</t>
  </si>
  <si>
    <t xml:space="preserve">Swollen optic discs due to raised intracranial pressure</t>
  </si>
  <si>
    <t xml:space="preserve">Headache, transient visual obscurations</t>
  </si>
  <si>
    <t xml:space="preserve">Urgent neuroimaging, treat cause (IIH: acetazolamide)</t>
  </si>
  <si>
    <t xml:space="preserve">DIS-126</t>
  </si>
  <si>
    <t xml:space="preserve">Optic atrophy</t>
  </si>
  <si>
    <t xml:space="preserve">Primary / secondary / consecutive optic atrophy</t>
  </si>
  <si>
    <t xml:space="preserve">H47.2</t>
  </si>
  <si>
    <t xml:space="preserve">Pale optic disc from loss of nerve fibres</t>
  </si>
  <si>
    <t xml:space="preserve">Poor vision, colour loss</t>
  </si>
  <si>
    <t xml:space="preserve">Treat cause, low-vision aids</t>
  </si>
  <si>
    <t xml:space="preserve">DIS-127</t>
  </si>
  <si>
    <t xml:space="preserve">Ischaemic optic neuropathy</t>
  </si>
  <si>
    <t xml:space="preserve">NAION / AAION (giant cell arteritis)</t>
  </si>
  <si>
    <t xml:space="preserve">H47.0</t>
  </si>
  <si>
    <t xml:space="preserve">Stroke of the optic nerve head</t>
  </si>
  <si>
    <t xml:space="preserve">Sudden painless vision loss, altitudinal field defect</t>
  </si>
  <si>
    <t xml:space="preserve">Control vascular risks; urgent steroids if GCA</t>
  </si>
  <si>
    <t xml:space="preserve">DIS-128</t>
  </si>
  <si>
    <t xml:space="preserve">Third nerve palsy</t>
  </si>
  <si>
    <t xml:space="preserve">Oculomotor palsy</t>
  </si>
  <si>
    <t xml:space="preserve">H49.0</t>
  </si>
  <si>
    <t xml:space="preserve">Palsy causing "down and out" eye, ptosis, ± dilated pupil</t>
  </si>
  <si>
    <t xml:space="preserve">Double vision, droopy lid</t>
  </si>
  <si>
    <t xml:space="preserve">Urgent imaging if pupil involved; prisms, surgery</t>
  </si>
  <si>
    <t xml:space="preserve">DIS-129</t>
  </si>
  <si>
    <t xml:space="preserve">Fourth nerve palsy</t>
  </si>
  <si>
    <t xml:space="preserve">Trochlear palsy</t>
  </si>
  <si>
    <t xml:space="preserve">H49.1</t>
  </si>
  <si>
    <t xml:space="preserve">Superior oblique weakness</t>
  </si>
  <si>
    <t xml:space="preserve">Vertical double vision, head tilt</t>
  </si>
  <si>
    <t xml:space="preserve">Prisms, surgery</t>
  </si>
  <si>
    <t xml:space="preserve">DIS-130</t>
  </si>
  <si>
    <t xml:space="preserve">Sixth nerve palsy</t>
  </si>
  <si>
    <t xml:space="preserve">Abducens palsy, lateral rectus palsy</t>
  </si>
  <si>
    <t xml:space="preserve">H49.2</t>
  </si>
  <si>
    <t xml:space="preserve">Lateral rectus weakness, eye turns in</t>
  </si>
  <si>
    <t xml:space="preserve">Horizontal double vision worse at distance</t>
  </si>
  <si>
    <t xml:space="preserve">Treat cause, prisms, botox, surgery</t>
  </si>
  <si>
    <t xml:space="preserve">DIS-131</t>
  </si>
  <si>
    <t xml:space="preserve">Nystagmus</t>
  </si>
  <si>
    <t xml:space="preserve">Congenital / acquired nystagmus</t>
  </si>
  <si>
    <t xml:space="preserve">H55</t>
  </si>
  <si>
    <t xml:space="preserve">Aankh ka kaanpna (H) / Chokh kanpa (B)</t>
  </si>
  <si>
    <t xml:space="preserve">Involuntary rhythmic eye movements</t>
  </si>
  <si>
    <t xml:space="preserve">Shaking eyes, reduced vision, head posture</t>
  </si>
  <si>
    <t xml:space="preserve">Glasses, treat cause, surgery for head posture</t>
  </si>
  <si>
    <t xml:space="preserve">DIS-132</t>
  </si>
  <si>
    <t xml:space="preserve">Ocular myasthenia</t>
  </si>
  <si>
    <t xml:space="preserve">OMG</t>
  </si>
  <si>
    <t xml:space="preserve">G70.0</t>
  </si>
  <si>
    <t xml:space="preserve">Autoimmune neuromuscular weakness affecting eye muscles</t>
  </si>
  <si>
    <t xml:space="preserve">Variable ptosis and diplopia worse in evening</t>
  </si>
  <si>
    <t xml:space="preserve">Ice-pack test, AChR antibodies, pyridostigmine</t>
  </si>
  <si>
    <t xml:space="preserve">DIS-133</t>
  </si>
  <si>
    <t xml:space="preserve">Homonymous hemianopia</t>
  </si>
  <si>
    <t xml:space="preserve">Visual field defect</t>
  </si>
  <si>
    <t xml:space="preserve">H53.4</t>
  </si>
  <si>
    <t xml:space="preserve">Loss of same half of field in both eyes (stroke / tumour)</t>
  </si>
  <si>
    <t xml:space="preserve">Bumping into objects on one side</t>
  </si>
  <si>
    <t xml:space="preserve">Neuro workup, field awareness training</t>
  </si>
  <si>
    <t xml:space="preserve">DIS-134</t>
  </si>
  <si>
    <t xml:space="preserve">Esotropia</t>
  </si>
  <si>
    <t xml:space="preserve">Convergent squint, ET, accommodative esotropia</t>
  </si>
  <si>
    <t xml:space="preserve">H50.0</t>
  </si>
  <si>
    <t xml:space="preserve">Bhengapan (H) / Tera chokh (B)</t>
  </si>
  <si>
    <t xml:space="preserve">Inward deviation of the eye</t>
  </si>
  <si>
    <t xml:space="preserve">Eye turning in, double vision, amblyopia</t>
  </si>
  <si>
    <t xml:space="preserve">Full hypermetropic glasses, patching, squint surgery</t>
  </si>
  <si>
    <t xml:space="preserve">DIS-135</t>
  </si>
  <si>
    <t xml:space="preserve">Exotropia</t>
  </si>
  <si>
    <t xml:space="preserve">Divergent squint, XT, intermittent exotropia</t>
  </si>
  <si>
    <t xml:space="preserve">H50.1</t>
  </si>
  <si>
    <t xml:space="preserve">Outward deviation of the eye</t>
  </si>
  <si>
    <t xml:space="preserve">Eye drifting out when tired / in sunlight, closing one eye</t>
  </si>
  <si>
    <t xml:space="preserve">Glasses, orthoptic exercises, surgery</t>
  </si>
  <si>
    <t xml:space="preserve">DIS-136</t>
  </si>
  <si>
    <t xml:space="preserve">Hypertropia</t>
  </si>
  <si>
    <t xml:space="preserve">Vertical squint</t>
  </si>
  <si>
    <t xml:space="preserve">H50.2</t>
  </si>
  <si>
    <t xml:space="preserve">Upward deviation of one eye</t>
  </si>
  <si>
    <t xml:space="preserve">Vertical diplopia, head tilt</t>
  </si>
  <si>
    <t xml:space="preserve">DIS-137</t>
  </si>
  <si>
    <t xml:space="preserve">Amblyopia</t>
  </si>
  <si>
    <t xml:space="preserve">Lazy eye (anisometropic, strabismic, deprivation)</t>
  </si>
  <si>
    <t xml:space="preserve">H53.0</t>
  </si>
  <si>
    <t xml:space="preserve">Kamzor aankh / Lazy eye (H) / Olos chokh (B)</t>
  </si>
  <si>
    <t xml:space="preserve">Reduced vision in a structurally normal eye due to poor visual input in childhood</t>
  </si>
  <si>
    <t xml:space="preserve">Poor vision in one eye, often unnoticed</t>
  </si>
  <si>
    <t xml:space="preserve">Full correction glasses, patching (occlusion therapy), atropine penalisation</t>
  </si>
  <si>
    <t xml:space="preserve">DIS-138</t>
  </si>
  <si>
    <t xml:space="preserve">Convergence insufficiency</t>
  </si>
  <si>
    <t xml:space="preserve">CI</t>
  </si>
  <si>
    <t xml:space="preserve">H51.1</t>
  </si>
  <si>
    <t xml:space="preserve">Inability to maintain eye alignment for near</t>
  </si>
  <si>
    <t xml:space="preserve">Eye strain, headache, double vision on reading</t>
  </si>
  <si>
    <t xml:space="preserve">Pencil push-ups, orthoptic exercises, base-in prisms</t>
  </si>
  <si>
    <t xml:space="preserve">DIS-139</t>
  </si>
  <si>
    <t xml:space="preserve">Myopia</t>
  </si>
  <si>
    <t xml:space="preserve">Short-sightedness, nearsightedness</t>
  </si>
  <si>
    <t xml:space="preserve">H52.1</t>
  </si>
  <si>
    <t xml:space="preserve">Door ka kam dikhna (H) / Dur-er jinish jhapsa (B)</t>
  </si>
  <si>
    <t xml:space="preserve">Distant objects focus in front of retina</t>
  </si>
  <si>
    <t xml:space="preserve">Blurred distance vision, squinting to see board / TV</t>
  </si>
  <si>
    <t xml:space="preserve">Concave (minus) glasses, contact lenses, LASIK / SMILE / ICL; myopia control (low-dose atropine, DIMS lenses)</t>
  </si>
  <si>
    <t xml:space="preserve">DIS-140</t>
  </si>
  <si>
    <t xml:space="preserve">High myopia</t>
  </si>
  <si>
    <t xml:space="preserve">Pathological / degenerative myopia (&gt; -6.00 D)</t>
  </si>
  <si>
    <t xml:space="preserve">High minus power with risk of retinal complications</t>
  </si>
  <si>
    <t xml:space="preserve">Very poor unaided vision</t>
  </si>
  <si>
    <t xml:space="preserve">Glasses / CL, ICL, periodic retina exam</t>
  </si>
  <si>
    <t xml:space="preserve">DIS-141</t>
  </si>
  <si>
    <t xml:space="preserve">Hypermetropia</t>
  </si>
  <si>
    <t xml:space="preserve">Hyperopia, long-sightedness, farsightedness</t>
  </si>
  <si>
    <t xml:space="preserve">H52.0</t>
  </si>
  <si>
    <t xml:space="preserve">Paas ka kam dikhna (H) / Kacher jinish jhapsa (B)</t>
  </si>
  <si>
    <t xml:space="preserve">Light focuses behind retina</t>
  </si>
  <si>
    <t xml:space="preserve">Near blur, eye strain, headache; squint in children</t>
  </si>
  <si>
    <t xml:space="preserve">Convex (plus) glasses, contact lenses, refractive surgery</t>
  </si>
  <si>
    <t xml:space="preserve">DIS-142</t>
  </si>
  <si>
    <t xml:space="preserve">Astigmatism</t>
  </si>
  <si>
    <t xml:space="preserve">Cylindrical error (WTR, ATR, oblique)</t>
  </si>
  <si>
    <t xml:space="preserve">H52.2</t>
  </si>
  <si>
    <t xml:space="preserve">Tircha number (H) / Cylinder power (B)</t>
  </si>
  <si>
    <t xml:space="preserve">Unequal curvature of cornea / lens</t>
  </si>
  <si>
    <t xml:space="preserve">Blurred or distorted vision at all distances, headache</t>
  </si>
  <si>
    <t xml:space="preserve">Cylindrical glasses, toric CL / toric IOL, LASIK</t>
  </si>
  <si>
    <t xml:space="preserve">DIS-143</t>
  </si>
  <si>
    <t xml:space="preserve">Presbyopia</t>
  </si>
  <si>
    <t xml:space="preserve">Age-related near vision loss (40+)</t>
  </si>
  <si>
    <t xml:space="preserve">H52.4</t>
  </si>
  <si>
    <t xml:space="preserve">Nazdeek ka kam dikhna / Padhne ka chashma (H) / Chalshe (B)</t>
  </si>
  <si>
    <t xml:space="preserve">Loss of accommodation with age</t>
  </si>
  <si>
    <t xml:space="preserve">Holding books farther, difficulty reading small print</t>
  </si>
  <si>
    <t xml:space="preserve">Reading glasses, bifocals, progressive lenses (PAL)</t>
  </si>
  <si>
    <t xml:space="preserve">DIS-144</t>
  </si>
  <si>
    <t xml:space="preserve">Anisometropia</t>
  </si>
  <si>
    <t xml:space="preserve">H52.3</t>
  </si>
  <si>
    <t xml:space="preserve">Significant difference in power between the two eyes</t>
  </si>
  <si>
    <t xml:space="preserve">Eye strain, amblyopia in children</t>
  </si>
  <si>
    <t xml:space="preserve">Glasses / contact lenses</t>
  </si>
  <si>
    <t xml:space="preserve">DIS-145</t>
  </si>
  <si>
    <t xml:space="preserve">Computer vision syndrome</t>
  </si>
  <si>
    <t xml:space="preserve">Digital eye strain, asthenopia</t>
  </si>
  <si>
    <t xml:space="preserve">H53.1</t>
  </si>
  <si>
    <t xml:space="preserve">Screen se aankh thakna (H) / Screen-e chokh klanto (B)</t>
  </si>
  <si>
    <t xml:space="preserve">Eye strain from prolonged screen use</t>
  </si>
  <si>
    <t xml:space="preserve">Tired eyes, dryness, headache, blur after screen</t>
  </si>
  <si>
    <t xml:space="preserve">20-20-20 rule, lubricants, correct glasses, anti-reflective coating</t>
  </si>
  <si>
    <t xml:space="preserve">DIS-146</t>
  </si>
  <si>
    <t xml:space="preserve">Colour vision deficiency</t>
  </si>
  <si>
    <t xml:space="preserve">Colour blindness (protan, deutan)</t>
  </si>
  <si>
    <t xml:space="preserve">H53.5</t>
  </si>
  <si>
    <t xml:space="preserve">Rang na pehchaan pana (H) / Rong chinte na para (B)</t>
  </si>
  <si>
    <t xml:space="preserve">Inherited or acquired inability to distinguish certain colours</t>
  </si>
  <si>
    <t xml:space="preserve">Confusing red / green</t>
  </si>
  <si>
    <t xml:space="preserve">Counselling (career), tinted lenses</t>
  </si>
  <si>
    <t xml:space="preserve">DIS-147</t>
  </si>
  <si>
    <t xml:space="preserve">Orbital cellulitis</t>
  </si>
  <si>
    <t xml:space="preserve">Post-septal cellulitis</t>
  </si>
  <si>
    <t xml:space="preserve">H05.0</t>
  </si>
  <si>
    <t xml:space="preserve">Serious infection of orbital tissues behind septum — emergency</t>
  </si>
  <si>
    <t xml:space="preserve">Painful swollen lid, proptosis, restricted / painful eye movement, fever</t>
  </si>
  <si>
    <t xml:space="preserve">IV antibiotics, CT orbit, drainage if abscess</t>
  </si>
  <si>
    <t xml:space="preserve">DIS-148</t>
  </si>
  <si>
    <t xml:space="preserve">Preseptal cellulitis</t>
  </si>
  <si>
    <t xml:space="preserve">Periorbital cellulitis</t>
  </si>
  <si>
    <t xml:space="preserve">L03.2</t>
  </si>
  <si>
    <t xml:space="preserve">Infection of lid tissues in front of orbital septum</t>
  </si>
  <si>
    <t xml:space="preserve">Lid swelling, redness, normal eye movements</t>
  </si>
  <si>
    <t xml:space="preserve">Oral antibiotics</t>
  </si>
  <si>
    <t xml:space="preserve">DIS-149</t>
  </si>
  <si>
    <t xml:space="preserve">Thyroid eye disease</t>
  </si>
  <si>
    <t xml:space="preserve">TED, Graves' orbitopathy / ophthalmopathy</t>
  </si>
  <si>
    <t xml:space="preserve">H06.2 / E05.0</t>
  </si>
  <si>
    <t xml:space="preserve">Autoimmune orbital inflammation with thyroid disease</t>
  </si>
  <si>
    <t xml:space="preserve">Bulging eyes, lid retraction, staring look, dryness, diplopia</t>
  </si>
  <si>
    <t xml:space="preserve">Lubricants, selenium, steroids, orbital decompression</t>
  </si>
  <si>
    <t xml:space="preserve">DIS-150</t>
  </si>
  <si>
    <t xml:space="preserve">Proptosis</t>
  </si>
  <si>
    <t xml:space="preserve">Exophthalmos</t>
  </si>
  <si>
    <t xml:space="preserve">H05.2</t>
  </si>
  <si>
    <t xml:space="preserve">Aankh bahar aana (H) / Chokh thele beriye asha (B)</t>
  </si>
  <si>
    <t xml:space="preserve">Forward protrusion of the eyeball</t>
  </si>
  <si>
    <t xml:space="preserve">Bulging eye, exposure symptoms</t>
  </si>
  <si>
    <t xml:space="preserve">Find cause (thyroid, tumour); treat accordingly</t>
  </si>
  <si>
    <t xml:space="preserve">DIS-151</t>
  </si>
  <si>
    <t xml:space="preserve">Orbital blow-out fracture</t>
  </si>
  <si>
    <t xml:space="preserve">Orbital floor fracture</t>
  </si>
  <si>
    <t xml:space="preserve">S02.3</t>
  </si>
  <si>
    <t xml:space="preserve">Fracture of orbital floor after blunt trauma</t>
  </si>
  <si>
    <t xml:space="preserve">Double vision on upgaze, enophthalmos, cheek numbness</t>
  </si>
  <si>
    <t xml:space="preserve">CT orbit; surgical repair if entrapment</t>
  </si>
  <si>
    <t xml:space="preserve">DIS-152</t>
  </si>
  <si>
    <t xml:space="preserve">Hyphaema</t>
  </si>
  <si>
    <t xml:space="preserve">Blood in anterior chamber</t>
  </si>
  <si>
    <t xml:space="preserve">H21.0</t>
  </si>
  <si>
    <t xml:space="preserve">Aankh ki putli ke aage khoon (H)</t>
  </si>
  <si>
    <t xml:space="preserve">Bleeding in the anterior chamber after injury</t>
  </si>
  <si>
    <t xml:space="preserve">Blur, blood level in front of iris</t>
  </si>
  <si>
    <t xml:space="preserve">Rest, head elevation, steroid + cycloplegic, monitor IOP</t>
  </si>
  <si>
    <t xml:space="preserve">DIS-153</t>
  </si>
  <si>
    <t xml:space="preserve">Chemical injury</t>
  </si>
  <si>
    <t xml:space="preserve">Alkali / acid burn</t>
  </si>
  <si>
    <t xml:space="preserve">T26</t>
  </si>
  <si>
    <t xml:space="preserve">Aankh mein chuna / chemical gir gaya (H) / Chokhe chun pore geche (B)</t>
  </si>
  <si>
    <t xml:space="preserve">Chemical burn of eye — alkali (lime, chuna) worse than acid</t>
  </si>
  <si>
    <t xml:space="preserve">Severe pain, redness, blur</t>
  </si>
  <si>
    <t xml:space="preserve">IMMEDIATE copious irrigation, check pH, steroids, vitamin C, amniotic membrane</t>
  </si>
  <si>
    <t xml:space="preserve">DIS-154</t>
  </si>
  <si>
    <t xml:space="preserve">Open globe injury</t>
  </si>
  <si>
    <t xml:space="preserve">Perforating / penetrating eye injury, corneoscleral tear</t>
  </si>
  <si>
    <t xml:space="preserve">S05.6</t>
  </si>
  <si>
    <t xml:space="preserve">Full-thickness wound of cornea / sclera</t>
  </si>
  <si>
    <t xml:space="preserve">Pain, vision loss, irregular pupil, prolapsed uvea</t>
  </si>
  <si>
    <t xml:space="preserve">Shield (no pressure), IV antibiotics, urgent primary repair</t>
  </si>
  <si>
    <t xml:space="preserve">DIS-155</t>
  </si>
  <si>
    <t xml:space="preserve">Periorbital contusion</t>
  </si>
  <si>
    <t xml:space="preserve">Black eye</t>
  </si>
  <si>
    <t xml:space="preserve">S00.1</t>
  </si>
  <si>
    <t xml:space="preserve">Aankh par chot / neela nishaan (H) / Chokhe kalshite daag (B)</t>
  </si>
  <si>
    <t xml:space="preserve">Bruising around the eye after blunt injury</t>
  </si>
  <si>
    <t xml:space="preserve">Swelling, bruising</t>
  </si>
  <si>
    <t xml:space="preserve">Cold compress; exclude globe / orbital injury</t>
  </si>
  <si>
    <t xml:space="preserve">DIS-156</t>
  </si>
  <si>
    <t xml:space="preserve">Low vision / blindness</t>
  </si>
  <si>
    <t xml:space="preserve">Visual impairment (WHO categories)</t>
  </si>
  <si>
    <t xml:space="preserve">H54</t>
  </si>
  <si>
    <t xml:space="preserve">Andhapan (H) / Andhotto (B)</t>
  </si>
  <si>
    <t xml:space="preserve">Irreversible reduced vision not correctable with glasses</t>
  </si>
  <si>
    <t xml:space="preserve">Difficulty in daily tasks</t>
  </si>
  <si>
    <t xml:space="preserve">Low-vision aids, rehabilitation, disability certificate</t>
  </si>
  <si>
    <t xml:space="preserve">DIS-157</t>
  </si>
  <si>
    <t xml:space="preserve">Sjögren's syndrome dry eye</t>
  </si>
  <si>
    <t xml:space="preserve">Aqueous-deficient dry eye</t>
  </si>
  <si>
    <t xml:space="preserve">M35.0</t>
  </si>
  <si>
    <t xml:space="preserve">Autoimmune dry eye with dry mouth</t>
  </si>
  <si>
    <t xml:space="preserve">Severe dryness, grittiness</t>
  </si>
  <si>
    <t xml:space="preserve">Lubricants, cyclosporine, punctal plugs, rheumatology referral</t>
  </si>
  <si>
    <t xml:space="preserve">Symptom (Medical Term)</t>
  </si>
  <si>
    <t xml:space="preserve">Patient's Words (English)</t>
  </si>
  <si>
    <t xml:space="preserve">Colloquial (Hindi / Bengali)</t>
  </si>
  <si>
    <t xml:space="preserve">Associated Conditions</t>
  </si>
  <si>
    <t xml:space="preserve">Doctor's Follow-up Questions</t>
  </si>
  <si>
    <t xml:space="preserve">SYM-001</t>
  </si>
  <si>
    <t xml:space="preserve">Diminution of vision (DOV)</t>
  </si>
  <si>
    <t xml:space="preserve">"My vision is getting blurred"</t>
  </si>
  <si>
    <t xml:space="preserve">Dhundhla dikhna (H) / Jhapsa dekha (B)</t>
  </si>
  <si>
    <t xml:space="preserve">Cataract, refractive error, glaucoma, DR, ARMD</t>
  </si>
  <si>
    <t xml:space="preserve">Since when? Gradual or sudden? Distance, near or both? One eye or both? Painful or painless?</t>
  </si>
  <si>
    <t xml:space="preserve">SYM-002</t>
  </si>
  <si>
    <t xml:space="preserve">Sudden loss of vision</t>
  </si>
  <si>
    <t xml:space="preserve">"I suddenly can't see from one eye"</t>
  </si>
  <si>
    <t xml:space="preserve">Achanak dikhna band (H) / Hotat dekhte pachchi na (B)</t>
  </si>
  <si>
    <t xml:space="preserve">CRAO, CRVO, RD, VH, optic neuritis, AION</t>
  </si>
  <si>
    <t xml:space="preserve">Exact time of onset? Pain? Flashes / floaters? Diabetes / BP / heart disease?</t>
  </si>
  <si>
    <t xml:space="preserve">SYM-003</t>
  </si>
  <si>
    <t xml:space="preserve">Gradual painless vision loss</t>
  </si>
  <si>
    <t xml:space="preserve">"Vision has been slowly going down for months"</t>
  </si>
  <si>
    <t xml:space="preserve">Dheere dheere kam dikhna (H) / Aste aste kom dekha (B)</t>
  </si>
  <si>
    <t xml:space="preserve">Cataract, POAG, dry ARMD, refractive error</t>
  </si>
  <si>
    <t xml:space="preserve">Glare? Frequent change of glasses? Family history of glaucoma?</t>
  </si>
  <si>
    <t xml:space="preserve">SYM-004</t>
  </si>
  <si>
    <t xml:space="preserve">Distance blur</t>
  </si>
  <si>
    <t xml:space="preserve">"I can't see the TV / board clearly"</t>
  </si>
  <si>
    <t xml:space="preserve">Door ka dhundhla (H) / Dur-er jinish jhapsa (B)</t>
  </si>
  <si>
    <t xml:space="preserve">Myopia, astigmatism, nuclear cataract</t>
  </si>
  <si>
    <t xml:space="preserve">Do you squint to see? Using glasses? Last check-up?</t>
  </si>
  <si>
    <t xml:space="preserve">SYM-005</t>
  </si>
  <si>
    <t xml:space="preserve">Near blur</t>
  </si>
  <si>
    <t xml:space="preserve">"I can't read newspaper / mobile"</t>
  </si>
  <si>
    <t xml:space="preserve">Paas ka dhundhla (H) / Kacher lekha porte parchhi na (B)</t>
  </si>
  <si>
    <t xml:space="preserve">Presbyopia, hypermetropia, PSC cataract</t>
  </si>
  <si>
    <t xml:space="preserve">Age? Holding reading material farther away?</t>
  </si>
  <si>
    <t xml:space="preserve">SYM-006</t>
  </si>
  <si>
    <t xml:space="preserve">Red eye</t>
  </si>
  <si>
    <t xml:space="preserve">"My eye is red"</t>
  </si>
  <si>
    <t xml:space="preserve">Aankh laal (H) / Chokh lal (B)</t>
  </si>
  <si>
    <t xml:space="preserve">Conjunctivitis, uveitis, keratitis, acute glaucoma, SCH, scleritis</t>
  </si>
  <si>
    <t xml:space="preserve">Pain? Discharge? Vision affected? Contact lens use? Injury?</t>
  </si>
  <si>
    <t xml:space="preserve">SYM-007</t>
  </si>
  <si>
    <t xml:space="preserve">Watering</t>
  </si>
  <si>
    <t xml:space="preserve">"Water keeps coming from my eye"</t>
  </si>
  <si>
    <t xml:space="preserve">NLDO, conjunctivitis, FB, dry eye (reflex), trichiasis, ectropion</t>
  </si>
  <si>
    <t xml:space="preserve">Constant or intermittent? Sticky? Pressing near nose brings pus?</t>
  </si>
  <si>
    <t xml:space="preserve">SYM-008</t>
  </si>
  <si>
    <t xml:space="preserve">Discharge</t>
  </si>
  <si>
    <t xml:space="preserve">"Sticky yellow stuff in my eye"</t>
  </si>
  <si>
    <t xml:space="preserve">Keechad (H) / Pichuti (B)</t>
  </si>
  <si>
    <t xml:space="preserve">Bacterial conjunctivitis, dacryocystitis, corneal ulcer</t>
  </si>
  <si>
    <t xml:space="preserve">Colour? Lids stuck in morning? Others at home affected?</t>
  </si>
  <si>
    <t xml:space="preserve">SYM-009</t>
  </si>
  <si>
    <t xml:space="preserve">Ropy / stringy discharge</t>
  </si>
  <si>
    <t xml:space="preserve">"White thread-like stuff"</t>
  </si>
  <si>
    <t xml:space="preserve">Safed dhaagedaar keechad (H)</t>
  </si>
  <si>
    <t xml:space="preserve">VKC, allergic conjunctivitis</t>
  </si>
  <si>
    <t xml:space="preserve">Itching? Seasonal? History of allergy / asthma?</t>
  </si>
  <si>
    <t xml:space="preserve">SYM-010</t>
  </si>
  <si>
    <t xml:space="preserve">Itching</t>
  </si>
  <si>
    <t xml:space="preserve">"My eyes are itching a lot"</t>
  </si>
  <si>
    <t xml:space="preserve">Allergic conjunctivitis, VKC, blepharitis, dry eye</t>
  </si>
  <si>
    <t xml:space="preserve">Seasonal? Dust / pollen exposure? Rubbing? Allergy history?</t>
  </si>
  <si>
    <t xml:space="preserve">SYM-011</t>
  </si>
  <si>
    <t xml:space="preserve">Burning sensation</t>
  </si>
  <si>
    <t xml:space="preserve">"My eyes burn"</t>
  </si>
  <si>
    <t xml:space="preserve">Aankh mein jalan (H) / Chokh jwala kora (B)</t>
  </si>
  <si>
    <t xml:space="preserve">Dry eye, blepharitis, MGD, conjunctivitis, CVS</t>
  </si>
  <si>
    <t xml:space="preserve">Worse with screens / AC? Morning or evening?</t>
  </si>
  <si>
    <t xml:space="preserve">SYM-012</t>
  </si>
  <si>
    <t xml:space="preserve">"Feels like sand / something in my eye"</t>
  </si>
  <si>
    <t xml:space="preserve">Kirkiri / kuch pada hua lagna (H) / Chokh kirkir kora (B)</t>
  </si>
  <si>
    <t xml:space="preserve">Corneal FB, abrasion, dry eye, trichiasis, concretions</t>
  </si>
  <si>
    <t xml:space="preserve">Did anything fall in the eye? Grinding / welding work?</t>
  </si>
  <si>
    <t xml:space="preserve">SYM-013</t>
  </si>
  <si>
    <t xml:space="preserve">Eye pain</t>
  </si>
  <si>
    <t xml:space="preserve">"My eye is paining"</t>
  </si>
  <si>
    <t xml:space="preserve">Aankh mein dard (H) / Chokhe byatha (B)</t>
  </si>
  <si>
    <t xml:space="preserve">Keratitis, uveitis, acute glaucoma, scleritis, optic neuritis</t>
  </si>
  <si>
    <t xml:space="preserve">Severity? Pain on eye movement? Headache / vomiting?</t>
  </si>
  <si>
    <t xml:space="preserve">SYM-014</t>
  </si>
  <si>
    <t xml:space="preserve">Pain on eye movement</t>
  </si>
  <si>
    <t xml:space="preserve">"It hurts when I move my eyes"</t>
  </si>
  <si>
    <t xml:space="preserve">Aankh ghumane par dard (H)</t>
  </si>
  <si>
    <t xml:space="preserve">Optic neuritis, orbital cellulitis, scleritis</t>
  </si>
  <si>
    <t xml:space="preserve">Vision loss? Colour dullness? Fever?</t>
  </si>
  <si>
    <t xml:space="preserve">SYM-015</t>
  </si>
  <si>
    <t xml:space="preserve">Photophobia</t>
  </si>
  <si>
    <t xml:space="preserve">"I can't tolerate light"</t>
  </si>
  <si>
    <t xml:space="preserve">Roshni se takleef (H) / Alo sojyo hoy na (B)</t>
  </si>
  <si>
    <t xml:space="preserve">Keratitis, uveitis, corneal abrasion, congenital glaucoma, migraine</t>
  </si>
  <si>
    <t xml:space="preserve">Pain? Redness? Watering?</t>
  </si>
  <si>
    <t xml:space="preserve">SYM-016</t>
  </si>
  <si>
    <t xml:space="preserve">Glare</t>
  </si>
  <si>
    <t xml:space="preserve">"Headlights at night dazzle me"</t>
  </si>
  <si>
    <t xml:space="preserve">Chaundh (H) / Alo-te chokh dhadhiye jay (B)</t>
  </si>
  <si>
    <t xml:space="preserve">Cataract (PSC, cortical), PCO, post-LASIK, corneal scar</t>
  </si>
  <si>
    <t xml:space="preserve">Difficulty driving at night? Worse in sunlight?</t>
  </si>
  <si>
    <t xml:space="preserve">SYM-017</t>
  </si>
  <si>
    <t xml:space="preserve">Coloured haloes</t>
  </si>
  <si>
    <t xml:space="preserve">"I see rainbow rings around lights"</t>
  </si>
  <si>
    <t xml:space="preserve">Batti ke charon taraf rang (H) / Alor charpashe rongin ring (B)</t>
  </si>
  <si>
    <t xml:space="preserve">Acute angle closure, corneal oedema, cataract, conjunctivitis (mucus)</t>
  </si>
  <si>
    <t xml:space="preserve">With pain / headache / vomiting? Evening onset?</t>
  </si>
  <si>
    <t xml:space="preserve">SYM-018</t>
  </si>
  <si>
    <t xml:space="preserve">Floaters</t>
  </si>
  <si>
    <t xml:space="preserve">"Black dots / cobwebs moving in front of eye"</t>
  </si>
  <si>
    <t xml:space="preserve">PVD, vitreous haemorrhage, retinal tear, uveitis, myopia</t>
  </si>
  <si>
    <t xml:space="preserve">Sudden increase? Flashes? Curtain? Diabetes?</t>
  </si>
  <si>
    <t xml:space="preserve">SYM-019</t>
  </si>
  <si>
    <t xml:space="preserve">Flashes of light</t>
  </si>
  <si>
    <t xml:space="preserve">"I see sparks / lightning at the side"</t>
  </si>
  <si>
    <t xml:space="preserve">Chamak dikhna (H) / Jhilik dekha (B)</t>
  </si>
  <si>
    <t xml:space="preserve">PVD, retinal tear / RD, migraine aura</t>
  </si>
  <si>
    <t xml:space="preserve">Duration? With floaters or shadow?</t>
  </si>
  <si>
    <t xml:space="preserve">SYM-020</t>
  </si>
  <si>
    <t xml:space="preserve">Curtain / shadow</t>
  </si>
  <si>
    <t xml:space="preserve">"A curtain is coming over my vision"</t>
  </si>
  <si>
    <t xml:space="preserve">Aankh ke aage parda (H) / Chokher samne porda (B)</t>
  </si>
  <si>
    <t xml:space="preserve">Retinal detachment, vitreous haemorrhage</t>
  </si>
  <si>
    <t xml:space="preserve">Which direction? Since when? Flashes before it? (URGENT)</t>
  </si>
  <si>
    <t xml:space="preserve">SYM-021</t>
  </si>
  <si>
    <t xml:space="preserve">Double vision</t>
  </si>
  <si>
    <t xml:space="preserve">"I see two of everything"</t>
  </si>
  <si>
    <t xml:space="preserve">Do-do dikhna (H) / Ekta jinish duto dekha (B)</t>
  </si>
  <si>
    <t xml:space="preserve">Cranial nerve palsy, squint, TED, myasthenia; monocular — cataract, astigmatism</t>
  </si>
  <si>
    <t xml:space="preserve">Goes away on closing one eye? Horizontal or vertical? Headache?</t>
  </si>
  <si>
    <t xml:space="preserve">SYM-022</t>
  </si>
  <si>
    <t xml:space="preserve">Headache</t>
  </si>
  <si>
    <t xml:space="preserve">"Headache while reading / working"</t>
  </si>
  <si>
    <t xml:space="preserve">Sar dard (H) / Matha byatha (B)</t>
  </si>
  <si>
    <t xml:space="preserve">Refractive error, CI, glaucoma, migraine, papilloedema</t>
  </si>
  <si>
    <t xml:space="preserve">Location? Related to near work? Morning headache with vomiting?</t>
  </si>
  <si>
    <t xml:space="preserve">SYM-023</t>
  </si>
  <si>
    <t xml:space="preserve">Eye strain</t>
  </si>
  <si>
    <t xml:space="preserve">"My eyes feel tired and heavy"</t>
  </si>
  <si>
    <t xml:space="preserve">Aankh thakna (H) / Chokh klanto lage (B)</t>
  </si>
  <si>
    <t xml:space="preserve">Refractive error, CVS, CI, dry eye</t>
  </si>
  <si>
    <t xml:space="preserve">Screen hours per day? Glasses up to date?</t>
  </si>
  <si>
    <t xml:space="preserve">SYM-024</t>
  </si>
  <si>
    <t xml:space="preserve">Night blindness</t>
  </si>
  <si>
    <t xml:space="preserve">"I can't see in dim light / at night"</t>
  </si>
  <si>
    <t xml:space="preserve">RP, vitamin A deficiency, cataract, high myopia</t>
  </si>
  <si>
    <t xml:space="preserve">Since childhood? Family history? Diet?</t>
  </si>
  <si>
    <t xml:space="preserve">SYM-025</t>
  </si>
  <si>
    <t xml:space="preserve">Distorted vision</t>
  </si>
  <si>
    <t xml:space="preserve">"Straight lines look wavy"</t>
  </si>
  <si>
    <t xml:space="preserve">Seedhi line tedhi dikhna (H) / Soja line banka dekha (B)</t>
  </si>
  <si>
    <t xml:space="preserve">Wet ARMD, CSCR, ERM, macular hole, DME</t>
  </si>
  <si>
    <t xml:space="preserve">Amsler grid positive? One eye?</t>
  </si>
  <si>
    <t xml:space="preserve">SYM-026</t>
  </si>
  <si>
    <t xml:space="preserve">Central dark spot</t>
  </si>
  <si>
    <t xml:space="preserve">"There is a dark patch in the centre"</t>
  </si>
  <si>
    <t xml:space="preserve">Beech mein kaala dhabba (H) / Majhkhane kalo daag (B)</t>
  </si>
  <si>
    <t xml:space="preserve">ARMD, macular hole, CSCR, optic neuritis</t>
  </si>
  <si>
    <t xml:space="preserve">Onset? Distortion?</t>
  </si>
  <si>
    <t xml:space="preserve">SYM-027</t>
  </si>
  <si>
    <t xml:space="preserve">Tunnel vision</t>
  </si>
  <si>
    <t xml:space="preserve">"I only see straight ahead"</t>
  </si>
  <si>
    <t xml:space="preserve">Sirf saamne dikhna (H)</t>
  </si>
  <si>
    <t xml:space="preserve">Advanced glaucoma, RP</t>
  </si>
  <si>
    <t xml:space="preserve">Bumping into objects? Family history?</t>
  </si>
  <si>
    <t xml:space="preserve">SYM-028</t>
  </si>
  <si>
    <t xml:space="preserve">Colour dullness</t>
  </si>
  <si>
    <t xml:space="preserve">"Colours look faded / yellowish"</t>
  </si>
  <si>
    <t xml:space="preserve">Rang feeke dikhna (H) / Rong phikey lage (B)</t>
  </si>
  <si>
    <t xml:space="preserve">Cataract, optic neuritis, optic atrophy</t>
  </si>
  <si>
    <t xml:space="preserve">One eye? After which event?</t>
  </si>
  <si>
    <t xml:space="preserve">SYM-029</t>
  </si>
  <si>
    <t xml:space="preserve">Lid swelling</t>
  </si>
  <si>
    <t xml:space="preserve">"My eyelid is swollen"</t>
  </si>
  <si>
    <t xml:space="preserve">Palak sujna (H) / Chokher pata phola (B)</t>
  </si>
  <si>
    <t xml:space="preserve">Stye, chalazion, allergy, cellulitis, conjunctivitis, TED</t>
  </si>
  <si>
    <t xml:space="preserve">Painful? Fever? Insect bite?</t>
  </si>
  <si>
    <t xml:space="preserve">SYM-030</t>
  </si>
  <si>
    <t xml:space="preserve">Lump on eyelid</t>
  </si>
  <si>
    <t xml:space="preserve">"There is a small lump on my lid"</t>
  </si>
  <si>
    <t xml:space="preserve">Palak par daana / gaanth (H) / Chokher patay gutli (B)</t>
  </si>
  <si>
    <t xml:space="preserve">Chalazion, stye, cyst, tumour</t>
  </si>
  <si>
    <t xml:space="preserve">Painful? Growing? Recurrent?</t>
  </si>
  <si>
    <t xml:space="preserve">SYM-031</t>
  </si>
  <si>
    <t xml:space="preserve">Drooping eyelid</t>
  </si>
  <si>
    <t xml:space="preserve">"My eyelid is falling"</t>
  </si>
  <si>
    <t xml:space="preserve">Palak girna (H) / Chokher pata pore jaoa (B)</t>
  </si>
  <si>
    <t xml:space="preserve">Ptosis, 3rd nerve palsy, myasthenia, dermatochalasis</t>
  </si>
  <si>
    <t xml:space="preserve">Since birth? Variable through the day? Double vision?</t>
  </si>
  <si>
    <t xml:space="preserve">SYM-032</t>
  </si>
  <si>
    <t xml:space="preserve">Lids stuck in morning</t>
  </si>
  <si>
    <t xml:space="preserve">"Eyes are glued shut when I wake up"</t>
  </si>
  <si>
    <t xml:space="preserve">Subah aankh chipak jaana (H) / Sokale chokh jore thake (B)</t>
  </si>
  <si>
    <t xml:space="preserve">Bacterial conjunctivitis, blepharitis</t>
  </si>
  <si>
    <t xml:space="preserve">Discharge colour?</t>
  </si>
  <si>
    <t xml:space="preserve">SYM-033</t>
  </si>
  <si>
    <t xml:space="preserve">Dryness</t>
  </si>
  <si>
    <t xml:space="preserve">"My eyes feel dry"</t>
  </si>
  <si>
    <t xml:space="preserve">Aankh sookhi (H) / Chokh shukno (B)</t>
  </si>
  <si>
    <t xml:space="preserve">Dry eye, MGD, Sjögren's, post-LASIK</t>
  </si>
  <si>
    <t xml:space="preserve">Screen / AC use? Dry mouth? Medications?</t>
  </si>
  <si>
    <t xml:space="preserve">SYM-034</t>
  </si>
  <si>
    <t xml:space="preserve">Squint noticed</t>
  </si>
  <si>
    <t xml:space="preserve">"My child's eye turns inward / outward"</t>
  </si>
  <si>
    <t xml:space="preserve">Aankh tedhi (H) / Chokh tera (B)</t>
  </si>
  <si>
    <t xml:space="preserve">Esotropia, exotropia, refractive error, retinoblastoma</t>
  </si>
  <si>
    <t xml:space="preserve">Since when? Constant or intermittent? Family history? Birth history?</t>
  </si>
  <si>
    <t xml:space="preserve">SYM-035</t>
  </si>
  <si>
    <t xml:space="preserve">White reflex in pupil</t>
  </si>
  <si>
    <t xml:space="preserve">"Something white shines in my child's eye in photos"</t>
  </si>
  <si>
    <t xml:space="preserve">Aankh mein safed chamak (H) / Chokhe sada alo (B)</t>
  </si>
  <si>
    <t xml:space="preserve">Retinoblastoma, congenital cataract, ROP, Coats</t>
  </si>
  <si>
    <t xml:space="preserve">URGENT — refer; age? One eye?</t>
  </si>
  <si>
    <t xml:space="preserve">SYM-036</t>
  </si>
  <si>
    <t xml:space="preserve">Bulging eye</t>
  </si>
  <si>
    <t xml:space="preserve">"My eye is coming out"</t>
  </si>
  <si>
    <t xml:space="preserve">Aankh bahar aana (H) / Chokh thele bere asha (B)</t>
  </si>
  <si>
    <t xml:space="preserve">TED, orbital tumour, orbital cellulitis</t>
  </si>
  <si>
    <t xml:space="preserve">Thyroid history? Pain? Double vision?</t>
  </si>
  <si>
    <t xml:space="preserve">SYM-037</t>
  </si>
  <si>
    <t xml:space="preserve">Eye injury</t>
  </si>
  <si>
    <t xml:space="preserve">"I got hit in the eye"</t>
  </si>
  <si>
    <t xml:space="preserve">Aankh par chot (H) / Chokhe chot legeche (B)</t>
  </si>
  <si>
    <t xml:space="preserve">Hyphaema, corneal abrasion, open globe, blow-out fracture, traumatic cataract</t>
  </si>
  <si>
    <t xml:space="preserve">Object? Time? Sharp or blunt? Vision after injury?</t>
  </si>
  <si>
    <t xml:space="preserve">SYM-038</t>
  </si>
  <si>
    <t xml:space="preserve">Chemical splash</t>
  </si>
  <si>
    <t xml:space="preserve">"Chemical / lime (chuna) went into my eye"</t>
  </si>
  <si>
    <t xml:space="preserve">Aankh mein chuna gir gaya (H) / Chokhe chun pore geche (B)</t>
  </si>
  <si>
    <t xml:space="preserve">Which chemical? Time? Washed? (Irrigate first, ask later)</t>
  </si>
  <si>
    <t xml:space="preserve">SYM-039</t>
  </si>
  <si>
    <t xml:space="preserve">Something fell in eye</t>
  </si>
  <si>
    <t xml:space="preserve">"Dust / iron particle went into my eye"</t>
  </si>
  <si>
    <t xml:space="preserve">Corneal / conjunctival FB</t>
  </si>
  <si>
    <t xml:space="preserve">Work type (grinding / welding)? Hammering metal on metal?</t>
  </si>
  <si>
    <t xml:space="preserve">SYM-040</t>
  </si>
  <si>
    <t xml:space="preserve">Frequent change of glasses</t>
  </si>
  <si>
    <t xml:space="preserve">"My glasses number keeps changing"</t>
  </si>
  <si>
    <t xml:space="preserve">Chashme ka number baar baar badalna (H) / Bar bar chosmar power bodlano (B)</t>
  </si>
  <si>
    <t xml:space="preserve">Cataract, keratoconus, diabetes, glaucoma</t>
  </si>
  <si>
    <t xml:space="preserve">Eye rubbing? Blood sugar status?</t>
  </si>
  <si>
    <t xml:space="preserve">SYM-041</t>
  </si>
  <si>
    <t xml:space="preserve">Swelling near nose (inner corner)</t>
  </si>
  <si>
    <t xml:space="preserve">"Painful swelling near the nose"</t>
  </si>
  <si>
    <t xml:space="preserve">Watering before? Pus on pressing?</t>
  </si>
  <si>
    <t xml:space="preserve">SYM-042</t>
  </si>
  <si>
    <t xml:space="preserve">Blood in white of eye</t>
  </si>
  <si>
    <t xml:space="preserve">"Blood patch in my eye"</t>
  </si>
  <si>
    <t xml:space="preserve">Aankh mein khoon (H) / Chokhe rokto (B)</t>
  </si>
  <si>
    <t xml:space="preserve">Subconjunctival haemorrhage, AHC, trauma</t>
  </si>
  <si>
    <t xml:space="preserve">Pain? Vision? BP? Blood thinners? Coughing / straining?</t>
  </si>
  <si>
    <t xml:space="preserve">SYM-043</t>
  </si>
  <si>
    <t xml:space="preserve">"My eyelid keeps jumping"</t>
  </si>
  <si>
    <t xml:space="preserve">Palak phadakna (H) / Chokh nacha (B)</t>
  </si>
  <si>
    <t xml:space="preserve">Myokymia, blepharospasm, hemifacial spasm</t>
  </si>
  <si>
    <t xml:space="preserve">Stress / sleep / caffeine? Both sides of face?</t>
  </si>
  <si>
    <t xml:space="preserve">SYM-044</t>
  </si>
  <si>
    <t xml:space="preserve">Eye rubbing</t>
  </si>
  <si>
    <t xml:space="preserve">"My child keeps rubbing eyes"</t>
  </si>
  <si>
    <t xml:space="preserve">Aankh malna (H) / Chokh dola (B)</t>
  </si>
  <si>
    <t xml:space="preserve">Allergy, VKC, refractive error, keratoconus</t>
  </si>
  <si>
    <t xml:space="preserve">Itching? Seasonal?</t>
  </si>
  <si>
    <t xml:space="preserve">SYM-045</t>
  </si>
  <si>
    <t xml:space="preserve">Sensitivity to wind / dust</t>
  </si>
  <si>
    <t xml:space="preserve">"Eyes water in wind"</t>
  </si>
  <si>
    <t xml:space="preserve">Hawa mein paani (H)</t>
  </si>
  <si>
    <t xml:space="preserve">Dry eye, pterygium, ectropion</t>
  </si>
  <si>
    <t xml:space="preserve">Outdoor exposure?</t>
  </si>
  <si>
    <t xml:space="preserve">SYM-046</t>
  </si>
  <si>
    <t xml:space="preserve">Nausea / vomiting with eye pain</t>
  </si>
  <si>
    <t xml:space="preserve">"Eye pain with vomiting and headache"</t>
  </si>
  <si>
    <t xml:space="preserve">Aankh dard ke saath ulti (H) / Chokh byathar songe bomi (B)</t>
  </si>
  <si>
    <t xml:space="preserve">Acute angle-closure glaucoma</t>
  </si>
  <si>
    <t xml:space="preserve">Haloes? Sudden blur? (EMERGENCY)</t>
  </si>
  <si>
    <t xml:space="preserve">SYM-047</t>
  </si>
  <si>
    <t xml:space="preserve">Reduced vision after cataract surgery</t>
  </si>
  <si>
    <t xml:space="preserve">"Vision was good after operation, now blurred again"</t>
  </si>
  <si>
    <t xml:space="preserve">Operation ke baad phir dhundhla (H)</t>
  </si>
  <si>
    <t xml:space="preserve">PCO, CME, IOL issue, refractive surprise</t>
  </si>
  <si>
    <t xml:space="preserve">When was surgery? Gradual or sudden? Pain / redness (endophthalmitis)?</t>
  </si>
  <si>
    <t xml:space="preserve">SYM-048</t>
  </si>
  <si>
    <t xml:space="preserve">Pain / redness after surgery</t>
  </si>
  <si>
    <t xml:space="preserve">"Eye is red and painful few days after operation"</t>
  </si>
  <si>
    <t xml:space="preserve">Operation ke baad laal aur dard (H) / Operation-er por lal o byatha (B)</t>
  </si>
  <si>
    <t xml:space="preserve">Endophthalmitis, uveitis, raised IOP</t>
  </si>
  <si>
    <t xml:space="preserve">Day of surgery? Vision dropping? (EMERGENCY)</t>
  </si>
  <si>
    <t xml:space="preserve">Examination / Test</t>
  </si>
  <si>
    <t xml:space="preserve">Abbreviation</t>
  </si>
  <si>
    <t xml:space="preserve">Type</t>
  </si>
  <si>
    <t xml:space="preserve">What It Measures / Purpose</t>
  </si>
  <si>
    <t xml:space="preserve">Normal / Reference Value</t>
  </si>
  <si>
    <t xml:space="preserve">Common Indications</t>
  </si>
  <si>
    <t xml:space="preserve">TST-001</t>
  </si>
  <si>
    <t xml:space="preserve">Visual acuity (distance)</t>
  </si>
  <si>
    <t xml:space="preserve">VA, UCVA / BCVA</t>
  </si>
  <si>
    <t xml:space="preserve">Examination</t>
  </si>
  <si>
    <t xml:space="preserve">Sharpness of distance vision on Snellen / LogMAR chart at 6 m</t>
  </si>
  <si>
    <t xml:space="preserve">6/6 (20/20); LogMAR 0.0</t>
  </si>
  <si>
    <t xml:space="preserve">Every patient — baseline and follow-up</t>
  </si>
  <si>
    <t xml:space="preserve">TST-002</t>
  </si>
  <si>
    <t xml:space="preserve">Uncorrected visual acuity</t>
  </si>
  <si>
    <t xml:space="preserve">UCVA, UA</t>
  </si>
  <si>
    <t xml:space="preserve">Vision without glasses</t>
  </si>
  <si>
    <t xml:space="preserve">6/6</t>
  </si>
  <si>
    <t xml:space="preserve">Refractive error, pre / post surgery</t>
  </si>
  <si>
    <t xml:space="preserve">TST-003</t>
  </si>
  <si>
    <t xml:space="preserve">Best-corrected visual acuity</t>
  </si>
  <si>
    <t xml:space="preserve">BCVA, BCDVA</t>
  </si>
  <si>
    <t xml:space="preserve">Vision with best glasses / pinhole</t>
  </si>
  <si>
    <t xml:space="preserve">Distinguishes refractive vs pathological loss</t>
  </si>
  <si>
    <t xml:space="preserve">TST-004</t>
  </si>
  <si>
    <t xml:space="preserve">Pinhole acuity</t>
  </si>
  <si>
    <t xml:space="preserve">PH</t>
  </si>
  <si>
    <t xml:space="preserve">Improvement with pinhole suggests refractive cause</t>
  </si>
  <si>
    <t xml:space="preserve">Improves to 6/6 if refractive</t>
  </si>
  <si>
    <t xml:space="preserve">Screening for refractive error</t>
  </si>
  <si>
    <t xml:space="preserve">TST-005</t>
  </si>
  <si>
    <t xml:space="preserve">Near visual acuity</t>
  </si>
  <si>
    <t xml:space="preserve">NVA</t>
  </si>
  <si>
    <t xml:space="preserve">Reading vision at 33–40 cm (Jaeger / N-notation)</t>
  </si>
  <si>
    <t xml:space="preserve">N6 / J1</t>
  </si>
  <si>
    <t xml:space="preserve">Presbyopia, near add</t>
  </si>
  <si>
    <t xml:space="preserve">TST-006</t>
  </si>
  <si>
    <t xml:space="preserve">Counting fingers / Hand movements / Perception of light</t>
  </si>
  <si>
    <t xml:space="preserve">CF, HM, PL, PR, NPL</t>
  </si>
  <si>
    <t xml:space="preserve">Grading of very poor vision</t>
  </si>
  <si>
    <t xml:space="preserve">Mature cataract, VH, RD, advanced glaucoma</t>
  </si>
  <si>
    <t xml:space="preserve">TST-007</t>
  </si>
  <si>
    <t xml:space="preserve">Projection of rays</t>
  </si>
  <si>
    <t xml:space="preserve">PR (accurate / inaccurate)</t>
  </si>
  <si>
    <t xml:space="preserve">Checks retinal function in all quadrants in dense cataract</t>
  </si>
  <si>
    <t xml:space="preserve">Accurate in all 4 quadrants</t>
  </si>
  <si>
    <t xml:space="preserve">Pre-op mature cataract</t>
  </si>
  <si>
    <t xml:space="preserve">TST-008</t>
  </si>
  <si>
    <t xml:space="preserve">LogMAR / ETDRS chart</t>
  </si>
  <si>
    <t xml:space="preserve">LogMAR</t>
  </si>
  <si>
    <t xml:space="preserve">Standardised acuity measurement</t>
  </si>
  <si>
    <t xml:space="preserve">0.0</t>
  </si>
  <si>
    <t xml:space="preserve">Research, children, retina clinics</t>
  </si>
  <si>
    <t xml:space="preserve">TST-009</t>
  </si>
  <si>
    <t xml:space="preserve">Refraction</t>
  </si>
  <si>
    <t xml:space="preserve">Ref, Retinoscopy (Ret), Subjective refraction (SR)</t>
  </si>
  <si>
    <t xml:space="preserve">Determines spectacle power</t>
  </si>
  <si>
    <t xml:space="preserve">Emmetropia (plano)</t>
  </si>
  <si>
    <t xml:space="preserve">Glasses prescription</t>
  </si>
  <si>
    <t xml:space="preserve">TST-010</t>
  </si>
  <si>
    <t xml:space="preserve">Autorefraction</t>
  </si>
  <si>
    <t xml:space="preserve">AR, ARK (autorefractokeratometer)</t>
  </si>
  <si>
    <t xml:space="preserve">Investigation</t>
  </si>
  <si>
    <t xml:space="preserve">Objective automated estimate of power and K readings</t>
  </si>
  <si>
    <t xml:space="preserve">Screening before subjective refraction</t>
  </si>
  <si>
    <t xml:space="preserve">TST-011</t>
  </si>
  <si>
    <t xml:space="preserve">Cycloplegic refraction</t>
  </si>
  <si>
    <t xml:space="preserve">CR, wet refraction</t>
  </si>
  <si>
    <t xml:space="preserve">Refraction after cyclopentolate / atropine to relax accommodation</t>
  </si>
  <si>
    <t xml:space="preserve">Children, hypermetropia, squint</t>
  </si>
  <si>
    <t xml:space="preserve">TST-012</t>
  </si>
  <si>
    <t xml:space="preserve">Post-mydriatic test</t>
  </si>
  <si>
    <t xml:space="preserve">PMT</t>
  </si>
  <si>
    <t xml:space="preserve">Final subjective refraction days after cycloplegic refraction</t>
  </si>
  <si>
    <t xml:space="preserve">Children's glasses</t>
  </si>
  <si>
    <t xml:space="preserve">TST-013</t>
  </si>
  <si>
    <t xml:space="preserve">Intraocular pressure</t>
  </si>
  <si>
    <t xml:space="preserve">IOP</t>
  </si>
  <si>
    <t xml:space="preserve">Pressure inside the eye</t>
  </si>
  <si>
    <t xml:space="preserve">10–21 mmHg</t>
  </si>
  <si>
    <t xml:space="preserve">Glaucoma screening / monitoring, steroid use, post-op</t>
  </si>
  <si>
    <t xml:space="preserve">TST-014</t>
  </si>
  <si>
    <t xml:space="preserve">Non-contact tonometry</t>
  </si>
  <si>
    <t xml:space="preserve">NCT, air-puff tonometer</t>
  </si>
  <si>
    <t xml:space="preserve">IOP by air puff, quick screening</t>
  </si>
  <si>
    <t xml:space="preserve">Screening</t>
  </si>
  <si>
    <t xml:space="preserve">TST-015</t>
  </si>
  <si>
    <t xml:space="preserve">Goldmann applanation tonometry</t>
  </si>
  <si>
    <t xml:space="preserve">GAT, AT</t>
  </si>
  <si>
    <t xml:space="preserve">Gold-standard IOP measurement on slit lamp with fluorescein</t>
  </si>
  <si>
    <t xml:space="preserve">Glaucoma diagnosis and monitoring</t>
  </si>
  <si>
    <t xml:space="preserve">TST-016</t>
  </si>
  <si>
    <t xml:space="preserve">Schiøtz / iCare / Tono-Pen tonometry</t>
  </si>
  <si>
    <t xml:space="preserve">Alternative IOP devices (indentation / rebound)</t>
  </si>
  <si>
    <t xml:space="preserve">Children, irregular cornea, bedside</t>
  </si>
  <si>
    <t xml:space="preserve">TST-017</t>
  </si>
  <si>
    <t xml:space="preserve">Diurnal variation of IOP</t>
  </si>
  <si>
    <t xml:space="preserve">DVT / phasing</t>
  </si>
  <si>
    <t xml:space="preserve">IOP measured at several times of day</t>
  </si>
  <si>
    <t xml:space="preserve">Fluctuation &lt; 5 mmHg</t>
  </si>
  <si>
    <t xml:space="preserve">NTG, glaucoma suspects</t>
  </si>
  <si>
    <t xml:space="preserve">TST-018</t>
  </si>
  <si>
    <t xml:space="preserve">Slit-lamp biomicroscopy</t>
  </si>
  <si>
    <t xml:space="preserve">SLE, SLB</t>
  </si>
  <si>
    <t xml:space="preserve">Magnified exam of lids, conjunctiva, cornea, AC, iris, lens</t>
  </si>
  <si>
    <t xml:space="preserve">Every eye patient</t>
  </si>
  <si>
    <t xml:space="preserve">TST-019</t>
  </si>
  <si>
    <t xml:space="preserve">Torchlight examination</t>
  </si>
  <si>
    <t xml:space="preserve">Basic external exam with torch</t>
  </si>
  <si>
    <t xml:space="preserve">Screening, camps, emergency</t>
  </si>
  <si>
    <t xml:space="preserve">TST-020</t>
  </si>
  <si>
    <t xml:space="preserve">Pupil examination / Swinging flashlight test</t>
  </si>
  <si>
    <t xml:space="preserve">RAPD, Marcus Gunn pupil</t>
  </si>
  <si>
    <t xml:space="preserve">Pupil reactions; detects afferent defect</t>
  </si>
  <si>
    <t xml:space="preserve">PERRLA; no RAPD</t>
  </si>
  <si>
    <t xml:space="preserve">Optic neuritis, glaucoma, RD, CRAO</t>
  </si>
  <si>
    <t xml:space="preserve">TST-021</t>
  </si>
  <si>
    <t xml:space="preserve">Fundoscopy (direct / indirect)</t>
  </si>
  <si>
    <t xml:space="preserve">DO, IDO (indirect ophthalmoscopy)</t>
  </si>
  <si>
    <t xml:space="preserve">View of retina, optic disc, macula, vessels</t>
  </si>
  <si>
    <t xml:space="preserve">DR, glaucoma, RD, papilloedema</t>
  </si>
  <si>
    <t xml:space="preserve">TST-022</t>
  </si>
  <si>
    <t xml:space="preserve">Dilated fundus examination</t>
  </si>
  <si>
    <t xml:space="preserve">DFE</t>
  </si>
  <si>
    <t xml:space="preserve">Complete retina exam after dilating drops</t>
  </si>
  <si>
    <t xml:space="preserve">Diabetics, floaters, myopes</t>
  </si>
  <si>
    <t xml:space="preserve">TST-023</t>
  </si>
  <si>
    <t xml:space="preserve">90D / 78D lens examination</t>
  </si>
  <si>
    <t xml:space="preserve">Slit-lamp biomicroscopy of fundus</t>
  </si>
  <si>
    <t xml:space="preserve">Stereo view of disc and macula</t>
  </si>
  <si>
    <t xml:space="preserve">C:D ≤ 0.3–0.4</t>
  </si>
  <si>
    <t xml:space="preserve">Glaucoma disc evaluation, macula</t>
  </si>
  <si>
    <t xml:space="preserve">TST-024</t>
  </si>
  <si>
    <t xml:space="preserve">Cup-to-disc ratio</t>
  </si>
  <si>
    <t xml:space="preserve">CDR, C:D</t>
  </si>
  <si>
    <t xml:space="preserve">Finding / measurement</t>
  </si>
  <si>
    <t xml:space="preserve">Ratio of optic cup to disc diameter</t>
  </si>
  <si>
    <t xml:space="preserve">≤ 0.3–0.4; asymmetry &lt; 0.2</t>
  </si>
  <si>
    <t xml:space="preserve">TST-025</t>
  </si>
  <si>
    <t xml:space="preserve">Gonioscopy</t>
  </si>
  <si>
    <t xml:space="preserve">Gonio</t>
  </si>
  <si>
    <t xml:space="preserve">Views the drainage angle with a gonio lens (Shaffer / Spaeth grading)</t>
  </si>
  <si>
    <t xml:space="preserve">Open, grade 3–4 (Shaffer)</t>
  </si>
  <si>
    <t xml:space="preserve">Angle-closure, secondary glaucoma</t>
  </si>
  <si>
    <t xml:space="preserve">TST-026</t>
  </si>
  <si>
    <t xml:space="preserve">Van Herick test</t>
  </si>
  <si>
    <t xml:space="preserve">Slit-lamp estimate of peripheral AC depth</t>
  </si>
  <si>
    <t xml:space="preserve">Grade 3–4</t>
  </si>
  <si>
    <t xml:space="preserve">Angle-closure screening</t>
  </si>
  <si>
    <t xml:space="preserve">TST-027</t>
  </si>
  <si>
    <t xml:space="preserve">Automated perimetry</t>
  </si>
  <si>
    <t xml:space="preserve">HFA 24-2 / 30-2 / 10-2, SAP</t>
  </si>
  <si>
    <t xml:space="preserve">Maps visual field</t>
  </si>
  <si>
    <t xml:space="preserve">No defect; reliable indices</t>
  </si>
  <si>
    <t xml:space="preserve">Glaucoma, neuro-ophthalmology</t>
  </si>
  <si>
    <t xml:space="preserve">TST-028</t>
  </si>
  <si>
    <t xml:space="preserve">Confrontation field test</t>
  </si>
  <si>
    <t xml:space="preserve">Bedside visual field check</t>
  </si>
  <si>
    <t xml:space="preserve">Full fields</t>
  </si>
  <si>
    <t xml:space="preserve">Neuro screening</t>
  </si>
  <si>
    <t xml:space="preserve">TST-029</t>
  </si>
  <si>
    <t xml:space="preserve">Optical coherence tomography</t>
  </si>
  <si>
    <t xml:space="preserve">OCT</t>
  </si>
  <si>
    <t xml:space="preserve">Cross-sectional scan of retina / nerve</t>
  </si>
  <si>
    <t xml:space="preserve">CMT ~250 µm (device-dependent)</t>
  </si>
  <si>
    <t xml:space="preserve">DME, ARMD, CSCR, macular hole, glaucoma</t>
  </si>
  <si>
    <t xml:space="preserve">TST-030</t>
  </si>
  <si>
    <t xml:space="preserve">OCT RNFL / GCC</t>
  </si>
  <si>
    <t xml:space="preserve">OCT-RNFL</t>
  </si>
  <si>
    <t xml:space="preserve">Nerve fibre layer thickness around disc</t>
  </si>
  <si>
    <t xml:space="preserve">Green (within normal limits)</t>
  </si>
  <si>
    <t xml:space="preserve">Glaucoma diagnosis and progression</t>
  </si>
  <si>
    <t xml:space="preserve">TST-031</t>
  </si>
  <si>
    <t xml:space="preserve">OCT angiography</t>
  </si>
  <si>
    <t xml:space="preserve">OCTA</t>
  </si>
  <si>
    <t xml:space="preserve">Dye-free imaging of retinal / choroidal vessels</t>
  </si>
  <si>
    <t xml:space="preserve">CNVM, DR, vein occlusion</t>
  </si>
  <si>
    <t xml:space="preserve">TST-032</t>
  </si>
  <si>
    <t xml:space="preserve">Fundus fluorescein angiography</t>
  </si>
  <si>
    <t xml:space="preserve">FFA, FA</t>
  </si>
  <si>
    <t xml:space="preserve">IV fluorescein dye to show retinal circulation and leakage</t>
  </si>
  <si>
    <t xml:space="preserve">No leakage</t>
  </si>
  <si>
    <t xml:space="preserve">DR, CNVM, vein occlusion, CSCR</t>
  </si>
  <si>
    <t xml:space="preserve">TST-033</t>
  </si>
  <si>
    <t xml:space="preserve">Indocyanine green angiography</t>
  </si>
  <si>
    <t xml:space="preserve">ICGA</t>
  </si>
  <si>
    <t xml:space="preserve">Dye imaging of choroid</t>
  </si>
  <si>
    <t xml:space="preserve">Polypoidal choroidal vasculopathy, CSCR</t>
  </si>
  <si>
    <t xml:space="preserve">TST-034</t>
  </si>
  <si>
    <t xml:space="preserve">Fundus photography</t>
  </si>
  <si>
    <t xml:space="preserve">Fundus photo</t>
  </si>
  <si>
    <t xml:space="preserve">Documentation of retina / disc</t>
  </si>
  <si>
    <t xml:space="preserve">DR screening, glaucoma documentation</t>
  </si>
  <si>
    <t xml:space="preserve">TST-035</t>
  </si>
  <si>
    <t xml:space="preserve">B-scan ultrasonography</t>
  </si>
  <si>
    <t xml:space="preserve">USG B-scan</t>
  </si>
  <si>
    <t xml:space="preserve">Ultrasound of the posterior segment when media is opaque</t>
  </si>
  <si>
    <t xml:space="preserve">Attached retina</t>
  </si>
  <si>
    <t xml:space="preserve">Mature cataract, VH, RD, IOFB, tumours</t>
  </si>
  <si>
    <t xml:space="preserve">TST-036</t>
  </si>
  <si>
    <t xml:space="preserve">A-scan biometry</t>
  </si>
  <si>
    <t xml:space="preserve">A-scan, AL</t>
  </si>
  <si>
    <t xml:space="preserve">Axial length measurement for IOL power</t>
  </si>
  <si>
    <t xml:space="preserve">AL ~22–24.5 mm</t>
  </si>
  <si>
    <t xml:space="preserve">Pre-cataract surgery</t>
  </si>
  <si>
    <t xml:space="preserve">TST-037</t>
  </si>
  <si>
    <t xml:space="preserve">Optical biometry</t>
  </si>
  <si>
    <t xml:space="preserve">IOL Master, Lenstar</t>
  </si>
  <si>
    <t xml:space="preserve">Non-contact axial length, K, ACD for IOL calculation</t>
  </si>
  <si>
    <t xml:space="preserve">Pre-cataract surgery (IOL power by SRK/T, Barrett etc.)</t>
  </si>
  <si>
    <t xml:space="preserve">TST-038</t>
  </si>
  <si>
    <t xml:space="preserve">Keratometry</t>
  </si>
  <si>
    <t xml:space="preserve">K1 / K2, K reading</t>
  </si>
  <si>
    <t xml:space="preserve">Corneal curvature</t>
  </si>
  <si>
    <t xml:space="preserve">~42–46 D</t>
  </si>
  <si>
    <t xml:space="preserve">IOL calculation, contact lens fitting, keratoconus</t>
  </si>
  <si>
    <t xml:space="preserve">TST-039</t>
  </si>
  <si>
    <t xml:space="preserve">Corneal topography / tomography</t>
  </si>
  <si>
    <t xml:space="preserve">Topo, Pentacam</t>
  </si>
  <si>
    <t xml:space="preserve">Maps corneal shape and thickness</t>
  </si>
  <si>
    <t xml:space="preserve">Regular bow-tie; no ectasia</t>
  </si>
  <si>
    <t xml:space="preserve">Keratoconus, pre-LASIK, toric IOL planning</t>
  </si>
  <si>
    <t xml:space="preserve">TST-040</t>
  </si>
  <si>
    <t xml:space="preserve">Pachymetry</t>
  </si>
  <si>
    <t xml:space="preserve">CCT (central corneal thickness)</t>
  </si>
  <si>
    <t xml:space="preserve">Corneal thickness</t>
  </si>
  <si>
    <t xml:space="preserve">~520–550 µm</t>
  </si>
  <si>
    <t xml:space="preserve">Glaucoma (IOP correction), LASIK screening, corneal oedema</t>
  </si>
  <si>
    <t xml:space="preserve">TST-041</t>
  </si>
  <si>
    <t xml:space="preserve">Specular microscopy</t>
  </si>
  <si>
    <t xml:space="preserve">ECD (endothelial cell density)</t>
  </si>
  <si>
    <t xml:space="preserve">Counts corneal endothelial cells</t>
  </si>
  <si>
    <t xml:space="preserve">~2000–3000 cells/mm²</t>
  </si>
  <si>
    <t xml:space="preserve">Pre-cataract, Fuchs dystrophy, PBK</t>
  </si>
  <si>
    <t xml:space="preserve">TST-042</t>
  </si>
  <si>
    <t xml:space="preserve">Schirmer's test</t>
  </si>
  <si>
    <t xml:space="preserve">Schirmer I / II</t>
  </si>
  <si>
    <t xml:space="preserve">Tear production using filter strip for 5 min</t>
  </si>
  <si>
    <t xml:space="preserve">&gt; 10–15 mm wetting</t>
  </si>
  <si>
    <t xml:space="preserve">Dry eye</t>
  </si>
  <si>
    <t xml:space="preserve">TST-043</t>
  </si>
  <si>
    <t xml:space="preserve">Tear break-up time</t>
  </si>
  <si>
    <t xml:space="preserve">TBUT, TFBUT</t>
  </si>
  <si>
    <t xml:space="preserve">Tear film stability with fluorescein</t>
  </si>
  <si>
    <t xml:space="preserve">&gt; 10 seconds</t>
  </si>
  <si>
    <t xml:space="preserve">Dry eye, MGD</t>
  </si>
  <si>
    <t xml:space="preserve">TST-044</t>
  </si>
  <si>
    <t xml:space="preserve">Fluorescein staining</t>
  </si>
  <si>
    <t xml:space="preserve">Flu stain</t>
  </si>
  <si>
    <t xml:space="preserve">Shows epithelial defects in cobalt blue light</t>
  </si>
  <si>
    <t xml:space="preserve">No staining</t>
  </si>
  <si>
    <t xml:space="preserve">Abrasion, ulcer, dry eye, dendrite</t>
  </si>
  <si>
    <t xml:space="preserve">TST-045</t>
  </si>
  <si>
    <t xml:space="preserve">Rose bengal / Lissamine green staining</t>
  </si>
  <si>
    <t xml:space="preserve">Stains devitalised cells</t>
  </si>
  <si>
    <t xml:space="preserve">TST-046</t>
  </si>
  <si>
    <t xml:space="preserve">Seidel test</t>
  </si>
  <si>
    <t xml:space="preserve">Detects aqueous leak from wound with fluorescein</t>
  </si>
  <si>
    <t xml:space="preserve">Negative</t>
  </si>
  <si>
    <t xml:space="preserve">Post-op wound leak, perforation</t>
  </si>
  <si>
    <t xml:space="preserve">TST-047</t>
  </si>
  <si>
    <t xml:space="preserve">Corneal sensation</t>
  </si>
  <si>
    <t xml:space="preserve">Corneal reflex</t>
  </si>
  <si>
    <t xml:space="preserve">Tests corneal nerve function with cotton wisp</t>
  </si>
  <si>
    <t xml:space="preserve">Present, equal</t>
  </si>
  <si>
    <t xml:space="preserve">HSK, neurotrophic keratitis</t>
  </si>
  <si>
    <t xml:space="preserve">TST-048</t>
  </si>
  <si>
    <t xml:space="preserve">Corneal scraping (smear and culture)</t>
  </si>
  <si>
    <t xml:space="preserve">Gram stain, KOH mount, culture</t>
  </si>
  <si>
    <t xml:space="preserve">Identifies organism in corneal ulcer</t>
  </si>
  <si>
    <t xml:space="preserve">Bacterial / fungal / Acanthamoeba keratitis</t>
  </si>
  <si>
    <t xml:space="preserve">TST-049</t>
  </si>
  <si>
    <t xml:space="preserve">Conjunctival swab culture</t>
  </si>
  <si>
    <t xml:space="preserve">Identifies organism in discharge</t>
  </si>
  <si>
    <t xml:space="preserve">Ophthalmia neonatorum, severe conjunctivitis</t>
  </si>
  <si>
    <t xml:space="preserve">TST-050</t>
  </si>
  <si>
    <t xml:space="preserve">Syringing of lacrimal passage</t>
  </si>
  <si>
    <t xml:space="preserve">Syringing, ROPLAS</t>
  </si>
  <si>
    <t xml:space="preserve">Checks patency of tear drainage</t>
  </si>
  <si>
    <t xml:space="preserve">Free / patent — fluid reaches throat</t>
  </si>
  <si>
    <t xml:space="preserve">Watering, pre-cataract surgery</t>
  </si>
  <si>
    <t xml:space="preserve">TST-051</t>
  </si>
  <si>
    <t xml:space="preserve">Regurgitation on pressure over lacrimal sac</t>
  </si>
  <si>
    <t xml:space="preserve">ROPLAS</t>
  </si>
  <si>
    <t xml:space="preserve">Pus / mucus refluxes on pressing sac</t>
  </si>
  <si>
    <t xml:space="preserve">TST-052</t>
  </si>
  <si>
    <t xml:space="preserve">Cover test / Cover–uncover test</t>
  </si>
  <si>
    <t xml:space="preserve">CT, alternate cover test</t>
  </si>
  <si>
    <t xml:space="preserve">Detects and measures squint</t>
  </si>
  <si>
    <t xml:space="preserve">Orthophoria</t>
  </si>
  <si>
    <t xml:space="preserve">Strabismus</t>
  </si>
  <si>
    <t xml:space="preserve">TST-053</t>
  </si>
  <si>
    <t xml:space="preserve">Prism bar cover test</t>
  </si>
  <si>
    <t xml:space="preserve">PBCT</t>
  </si>
  <si>
    <t xml:space="preserve">Measures deviation in prism dioptres</t>
  </si>
  <si>
    <t xml:space="preserve">0 PD</t>
  </si>
  <si>
    <t xml:space="preserve">Squint surgery planning</t>
  </si>
  <si>
    <t xml:space="preserve">TST-054</t>
  </si>
  <si>
    <t xml:space="preserve">Hirschberg test</t>
  </si>
  <si>
    <t xml:space="preserve">Corneal light reflex estimate of squint</t>
  </si>
  <si>
    <t xml:space="preserve">Central, symmetric</t>
  </si>
  <si>
    <t xml:space="preserve">Children, squint screening</t>
  </si>
  <si>
    <t xml:space="preserve">TST-055</t>
  </si>
  <si>
    <t xml:space="preserve">Extraocular movements</t>
  </si>
  <si>
    <t xml:space="preserve">EOM, ocular motility</t>
  </si>
  <si>
    <t xml:space="preserve">Checks eye movements in 9 gazes</t>
  </si>
  <si>
    <t xml:space="preserve">Full, free, painless</t>
  </si>
  <si>
    <t xml:space="preserve">Nerve palsy, TED, blow-out fracture</t>
  </si>
  <si>
    <t xml:space="preserve">TST-056</t>
  </si>
  <si>
    <t xml:space="preserve">Near point of convergence</t>
  </si>
  <si>
    <t xml:space="preserve">NPC</t>
  </si>
  <si>
    <t xml:space="preserve">Closest point eyes can converge</t>
  </si>
  <si>
    <t xml:space="preserve">&lt; 6–10 cm</t>
  </si>
  <si>
    <t xml:space="preserve">TST-057</t>
  </si>
  <si>
    <t xml:space="preserve">Worth 4-dot test</t>
  </si>
  <si>
    <t xml:space="preserve">W4D</t>
  </si>
  <si>
    <t xml:space="preserve">Binocular fusion / suppression</t>
  </si>
  <si>
    <t xml:space="preserve">Fusion (4 dots)</t>
  </si>
  <si>
    <t xml:space="preserve">Squint, amblyopia</t>
  </si>
  <si>
    <t xml:space="preserve">TST-058</t>
  </si>
  <si>
    <t xml:space="preserve">Stereopsis test</t>
  </si>
  <si>
    <t xml:space="preserve">TNO / Titmus fly test</t>
  </si>
  <si>
    <t xml:space="preserve">Depth perception</t>
  </si>
  <si>
    <t xml:space="preserve">≤ 60 sec of arc</t>
  </si>
  <si>
    <t xml:space="preserve">TST-059</t>
  </si>
  <si>
    <t xml:space="preserve">Ishihara colour vision test</t>
  </si>
  <si>
    <t xml:space="preserve">Ishihara plates</t>
  </si>
  <si>
    <t xml:space="preserve">Red-green colour deficiency screening</t>
  </si>
  <si>
    <t xml:space="preserve">All plates read</t>
  </si>
  <si>
    <t xml:space="preserve">Colour blindness, optic neuritis, jobs (driving, defence)</t>
  </si>
  <si>
    <t xml:space="preserve">TST-060</t>
  </si>
  <si>
    <t xml:space="preserve">Amsler grid</t>
  </si>
  <si>
    <t xml:space="preserve">Detects central distortion / scotoma</t>
  </si>
  <si>
    <t xml:space="preserve">Straight lines, no gaps</t>
  </si>
  <si>
    <t xml:space="preserve">ARMD, macular disease, home monitoring</t>
  </si>
  <si>
    <t xml:space="preserve">TST-061</t>
  </si>
  <si>
    <t xml:space="preserve">Contrast sensitivity</t>
  </si>
  <si>
    <t xml:space="preserve">Pelli-Robson</t>
  </si>
  <si>
    <t xml:space="preserve">Ability to see low-contrast objects</t>
  </si>
  <si>
    <t xml:space="preserve">Normal for age</t>
  </si>
  <si>
    <t xml:space="preserve">Cataract, optic neuropathy</t>
  </si>
  <si>
    <t xml:space="preserve">TST-062</t>
  </si>
  <si>
    <t xml:space="preserve">Exophthalmometry</t>
  </si>
  <si>
    <t xml:space="preserve">Hertel</t>
  </si>
  <si>
    <t xml:space="preserve">Measures proptosis</t>
  </si>
  <si>
    <t xml:space="preserve">12–20 mm; difference &lt; 2 mm</t>
  </si>
  <si>
    <t xml:space="preserve">TED, orbital mass</t>
  </si>
  <si>
    <t xml:space="preserve">TST-063</t>
  </si>
  <si>
    <t xml:space="preserve">Lid measurements</t>
  </si>
  <si>
    <t xml:space="preserve">MRD1, PFH, LPS function</t>
  </si>
  <si>
    <t xml:space="preserve">Quantifies ptosis</t>
  </si>
  <si>
    <t xml:space="preserve">MRD1 4–5 mm; LPS &gt; 12 mm</t>
  </si>
  <si>
    <t xml:space="preserve">Ptosis surgery planning</t>
  </si>
  <si>
    <t xml:space="preserve">TST-064</t>
  </si>
  <si>
    <t xml:space="preserve">Electroretinogram</t>
  </si>
  <si>
    <t xml:space="preserve">ERG</t>
  </si>
  <si>
    <t xml:space="preserve">Electrical response of retina to light</t>
  </si>
  <si>
    <t xml:space="preserve">Normal amplitudes</t>
  </si>
  <si>
    <t xml:space="preserve">RP, retinal dystrophies</t>
  </si>
  <si>
    <t xml:space="preserve">TST-065</t>
  </si>
  <si>
    <t xml:space="preserve">Visual evoked potential</t>
  </si>
  <si>
    <t xml:space="preserve">VEP</t>
  </si>
  <si>
    <t xml:space="preserve">Electrical response of visual pathway</t>
  </si>
  <si>
    <t xml:space="preserve">Normal latency (P100 ~100 ms)</t>
  </si>
  <si>
    <t xml:space="preserve">Optic neuritis, malingering, infants</t>
  </si>
  <si>
    <t xml:space="preserve">TST-066</t>
  </si>
  <si>
    <t xml:space="preserve">CT / MRI orbit &amp; brain</t>
  </si>
  <si>
    <t xml:space="preserve">CT orbit, MRI brain</t>
  </si>
  <si>
    <t xml:space="preserve">Imaging of orbit and brain</t>
  </si>
  <si>
    <t xml:space="preserve">Trauma, IOFB (CT), optic neuritis, papilloedema, tumours</t>
  </si>
  <si>
    <t xml:space="preserve">TST-067</t>
  </si>
  <si>
    <t xml:space="preserve">Blood sugar / HbA1c</t>
  </si>
  <si>
    <t xml:space="preserve">FBS, PPBS, RBS, HbA1c</t>
  </si>
  <si>
    <t xml:space="preserve">Diabetes status</t>
  </si>
  <si>
    <t xml:space="preserve">HbA1c &lt; 5.7% (normal)</t>
  </si>
  <si>
    <t xml:space="preserve">Pre-op, DR</t>
  </si>
  <si>
    <t xml:space="preserve">TST-068</t>
  </si>
  <si>
    <t xml:space="preserve">Blood pressure</t>
  </si>
  <si>
    <t xml:space="preserve">BP</t>
  </si>
  <si>
    <t xml:space="preserve">Systemic check</t>
  </si>
  <si>
    <t xml:space="preserve">&lt; 120/80 mmHg</t>
  </si>
  <si>
    <t xml:space="preserve">Pre-op, retinal vascular disease</t>
  </si>
  <si>
    <t xml:space="preserve">TST-069</t>
  </si>
  <si>
    <t xml:space="preserve">Pre-operative workup</t>
  </si>
  <si>
    <t xml:space="preserve">CBC, BT/CT, RBS, HIV, HBsAg, HCV, ECG</t>
  </si>
  <si>
    <t xml:space="preserve">Fitness for surgery</t>
  </si>
  <si>
    <t xml:space="preserve">Within normal limits</t>
  </si>
  <si>
    <t xml:space="preserve">All surgeries</t>
  </si>
  <si>
    <t xml:space="preserve">TST-070</t>
  </si>
  <si>
    <t xml:space="preserve">Uveitis workup</t>
  </si>
  <si>
    <t xml:space="preserve">CBC, ESR, CRP, HLA-B27, Mantoux, ACE, VDRL, chest X-ray</t>
  </si>
  <si>
    <t xml:space="preserve">Finds systemic cause of uveitis</t>
  </si>
  <si>
    <t xml:space="preserve">Recurrent / bilateral uveitis</t>
  </si>
  <si>
    <t xml:space="preserve">TST-071</t>
  </si>
  <si>
    <t xml:space="preserve">Thyroid function tests</t>
  </si>
  <si>
    <t xml:space="preserve">T3, T4, TSH, TRAb</t>
  </si>
  <si>
    <t xml:space="preserve">Thyroid status</t>
  </si>
  <si>
    <t xml:space="preserve">TED</t>
  </si>
  <si>
    <t xml:space="preserve">TST-072</t>
  </si>
  <si>
    <t xml:space="preserve">Ice-pack test</t>
  </si>
  <si>
    <t xml:space="preserve">Ptosis improves after cold pack in myasthenia</t>
  </si>
  <si>
    <t xml:space="preserve">No change</t>
  </si>
  <si>
    <t xml:space="preserve">Clinical Sign / Finding</t>
  </si>
  <si>
    <t xml:space="preserve">Structure</t>
  </si>
  <si>
    <t xml:space="preserve">Meaning</t>
  </si>
  <si>
    <t xml:space="preserve">Suggestive Of</t>
  </si>
  <si>
    <t xml:space="preserve">SGN-001</t>
  </si>
  <si>
    <t xml:space="preserve">Conjunctival congestion</t>
  </si>
  <si>
    <t xml:space="preserve">Conj. congestion</t>
  </si>
  <si>
    <t xml:space="preserve">Diffuse redness, more towards fornices</t>
  </si>
  <si>
    <t xml:space="preserve">Conjunctivitis</t>
  </si>
  <si>
    <t xml:space="preserve">SGN-002</t>
  </si>
  <si>
    <t xml:space="preserve">Ciliary / circumcorneal congestion</t>
  </si>
  <si>
    <t xml:space="preserve">CCC, ciliary flush</t>
  </si>
  <si>
    <t xml:space="preserve">Conjunctiva / limbus</t>
  </si>
  <si>
    <t xml:space="preserve">Redness concentrated around cornea</t>
  </si>
  <si>
    <t xml:space="preserve">Uveitis, keratitis, acute glaucoma</t>
  </si>
  <si>
    <t xml:space="preserve">SGN-003</t>
  </si>
  <si>
    <t xml:space="preserve">Chemosis</t>
  </si>
  <si>
    <t xml:space="preserve">Swelling / oedema of conjunctiva</t>
  </si>
  <si>
    <t xml:space="preserve">Allergy, severe conjunctivitis, orbital cellulitis</t>
  </si>
  <si>
    <t xml:space="preserve">SGN-004</t>
  </si>
  <si>
    <t xml:space="preserve">Follicles</t>
  </si>
  <si>
    <t xml:space="preserve">Palpebral conjunctiva</t>
  </si>
  <si>
    <t xml:space="preserve">Small pale lymphoid elevations</t>
  </si>
  <si>
    <t xml:space="preserve">Viral, chlamydial conjunctivitis, drug toxicity</t>
  </si>
  <si>
    <t xml:space="preserve">SGN-005</t>
  </si>
  <si>
    <t xml:space="preserve">Papillae</t>
  </si>
  <si>
    <t xml:space="preserve">Red bumps with central vessel</t>
  </si>
  <si>
    <t xml:space="preserve">Allergic, bacterial conjunctivitis</t>
  </si>
  <si>
    <t xml:space="preserve">SGN-006</t>
  </si>
  <si>
    <t xml:space="preserve">Giant papillae (cobblestone)</t>
  </si>
  <si>
    <t xml:space="preserve">Upper tarsal conjunctiva</t>
  </si>
  <si>
    <t xml:space="preserve">Papillae &gt; 1 mm</t>
  </si>
  <si>
    <t xml:space="preserve">VKC, GPC</t>
  </si>
  <si>
    <t xml:space="preserve">SGN-007</t>
  </si>
  <si>
    <t xml:space="preserve">Horner–Trantas dots</t>
  </si>
  <si>
    <t xml:space="preserve">Limbus</t>
  </si>
  <si>
    <t xml:space="preserve">White dots at limbus</t>
  </si>
  <si>
    <t xml:space="preserve">VKC (limbal type)</t>
  </si>
  <si>
    <t xml:space="preserve">SGN-008</t>
  </si>
  <si>
    <t xml:space="preserve">Pseudomembrane / membrane</t>
  </si>
  <si>
    <t xml:space="preserve">Fibrin layer on conjunctiva</t>
  </si>
  <si>
    <t xml:space="preserve">EKC, bacterial conjunctivitis</t>
  </si>
  <si>
    <t xml:space="preserve">SGN-009</t>
  </si>
  <si>
    <t xml:space="preserve">Preauricular lymphadenopathy</t>
  </si>
  <si>
    <t xml:space="preserve">PAN</t>
  </si>
  <si>
    <t xml:space="preserve">Face</t>
  </si>
  <si>
    <t xml:space="preserve">Enlarged lymph node in front of ear</t>
  </si>
  <si>
    <t xml:space="preserve">Viral / chlamydial conjunctivitis</t>
  </si>
  <si>
    <t xml:space="preserve">SGN-010</t>
  </si>
  <si>
    <t xml:space="preserve">Subepithelial infiltrates</t>
  </si>
  <si>
    <t xml:space="preserve">SEI</t>
  </si>
  <si>
    <t xml:space="preserve">Round opacities under epithelium</t>
  </si>
  <si>
    <t xml:space="preserve">Adenoviral keratoconjunctivitis</t>
  </si>
  <si>
    <t xml:space="preserve">SGN-011</t>
  </si>
  <si>
    <t xml:space="preserve">Punctate epithelial erosions</t>
  </si>
  <si>
    <t xml:space="preserve">PEE, SPK</t>
  </si>
  <si>
    <t xml:space="preserve">Fine spots stained with fluorescein</t>
  </si>
  <si>
    <t xml:space="preserve">Dry eye, exposure, toxicity, viral</t>
  </si>
  <si>
    <t xml:space="preserve">SGN-012</t>
  </si>
  <si>
    <t xml:space="preserve">ED</t>
  </si>
  <si>
    <t xml:space="preserve">Area staining with fluorescein</t>
  </si>
  <si>
    <t xml:space="preserve">Abrasion, ulcer</t>
  </si>
  <si>
    <t xml:space="preserve">SGN-013</t>
  </si>
  <si>
    <t xml:space="preserve">Corneal infiltrate</t>
  </si>
  <si>
    <t xml:space="preserve">White/grey area of inflammatory cells</t>
  </si>
  <si>
    <t xml:space="preserve">Keratitis / ulcer</t>
  </si>
  <si>
    <t xml:space="preserve">SGN-014</t>
  </si>
  <si>
    <t xml:space="preserve">Dendritic ulcer</t>
  </si>
  <si>
    <t xml:space="preserve">Branching ulcer with terminal bulbs</t>
  </si>
  <si>
    <t xml:space="preserve">HSV keratitis</t>
  </si>
  <si>
    <t xml:space="preserve">SGN-015</t>
  </si>
  <si>
    <t xml:space="preserve">Satellite lesions / feathery margins</t>
  </si>
  <si>
    <t xml:space="preserve">Small lesions around main ulcer</t>
  </si>
  <si>
    <t xml:space="preserve">SGN-016</t>
  </si>
  <si>
    <t xml:space="preserve">Ring infiltrate</t>
  </si>
  <si>
    <t xml:space="preserve">Ring-shaped infiltrate</t>
  </si>
  <si>
    <t xml:space="preserve">SGN-017</t>
  </si>
  <si>
    <t xml:space="preserve">Hypopyon</t>
  </si>
  <si>
    <t xml:space="preserve">Anterior chamber</t>
  </si>
  <si>
    <t xml:space="preserve">Layer of pus cells in AC</t>
  </si>
  <si>
    <t xml:space="preserve">Corneal ulcer, endophthalmitis, severe uveitis</t>
  </si>
  <si>
    <t xml:space="preserve">SGN-018</t>
  </si>
  <si>
    <t xml:space="preserve">Blood in AC</t>
  </si>
  <si>
    <t xml:space="preserve">Trauma, NVG</t>
  </si>
  <si>
    <t xml:space="preserve">SGN-019</t>
  </si>
  <si>
    <t xml:space="preserve">Corneal oedema</t>
  </si>
  <si>
    <t xml:space="preserve">Hazy thickened cornea</t>
  </si>
  <si>
    <t xml:space="preserve">Acute glaucoma, Fuchs, PBK, post-op</t>
  </si>
  <si>
    <t xml:space="preserve">SGN-020</t>
  </si>
  <si>
    <t xml:space="preserve">Descemet's folds / striate keratopathy</t>
  </si>
  <si>
    <t xml:space="preserve">DM folds</t>
  </si>
  <si>
    <t xml:space="preserve">Folds in posterior cornea</t>
  </si>
  <si>
    <t xml:space="preserve">Post-op oedema, hypotony</t>
  </si>
  <si>
    <t xml:space="preserve">SGN-021</t>
  </si>
  <si>
    <t xml:space="preserve">Keratic precipitates</t>
  </si>
  <si>
    <t xml:space="preserve">KPs (fine / mutton-fat)</t>
  </si>
  <si>
    <t xml:space="preserve">Corneal endothelium</t>
  </si>
  <si>
    <t xml:space="preserve">Inflammatory cell deposits</t>
  </si>
  <si>
    <t xml:space="preserve">Uveitis (mutton-fat = granulomatous)</t>
  </si>
  <si>
    <t xml:space="preserve">SGN-022</t>
  </si>
  <si>
    <t xml:space="preserve">AC cells and flare</t>
  </si>
  <si>
    <t xml:space="preserve">AC cells / flare (SUN grading)</t>
  </si>
  <si>
    <t xml:space="preserve">Inflammatory cells and protein in aqueous</t>
  </si>
  <si>
    <t xml:space="preserve">Anterior uveitis, post-op inflammation</t>
  </si>
  <si>
    <t xml:space="preserve">SGN-023</t>
  </si>
  <si>
    <t xml:space="preserve">Shallow anterior chamber</t>
  </si>
  <si>
    <t xml:space="preserve">Shallow AC</t>
  </si>
  <si>
    <t xml:space="preserve">Reduced AC depth</t>
  </si>
  <si>
    <t xml:space="preserve">Angle closure, wound leak, malignant glaucoma</t>
  </si>
  <si>
    <t xml:space="preserve">SGN-024</t>
  </si>
  <si>
    <t xml:space="preserve">Posterior synechiae</t>
  </si>
  <si>
    <t xml:space="preserve">PS</t>
  </si>
  <si>
    <t xml:space="preserve">Iris-lens</t>
  </si>
  <si>
    <t xml:space="preserve">Iris adhesions to lens</t>
  </si>
  <si>
    <t xml:space="preserve">Uveitis</t>
  </si>
  <si>
    <t xml:space="preserve">SGN-025</t>
  </si>
  <si>
    <t xml:space="preserve">Peripheral anterior synechiae</t>
  </si>
  <si>
    <t xml:space="preserve">PAS</t>
  </si>
  <si>
    <t xml:space="preserve">Angle</t>
  </si>
  <si>
    <t xml:space="preserve">Iris adhesions to angle</t>
  </si>
  <si>
    <t xml:space="preserve">Angle-closure, uveitis</t>
  </si>
  <si>
    <t xml:space="preserve">SGN-026</t>
  </si>
  <si>
    <t xml:space="preserve">Rubeosis iridis</t>
  </si>
  <si>
    <t xml:space="preserve">NVI</t>
  </si>
  <si>
    <t xml:space="preserve">Iris</t>
  </si>
  <si>
    <t xml:space="preserve">New vessels on iris</t>
  </si>
  <si>
    <t xml:space="preserve">PDR, CRVO, NVG</t>
  </si>
  <si>
    <t xml:space="preserve">SGN-027</t>
  </si>
  <si>
    <t xml:space="preserve">Iris atrophy / transillumination defects</t>
  </si>
  <si>
    <t xml:space="preserve">Thinning of iris</t>
  </si>
  <si>
    <t xml:space="preserve">PDS, HZO, post-acute glaucoma</t>
  </si>
  <si>
    <t xml:space="preserve">SGN-028</t>
  </si>
  <si>
    <t xml:space="preserve">Mid-dilated fixed pupil</t>
  </si>
  <si>
    <t xml:space="preserve">Pupil</t>
  </si>
  <si>
    <t xml:space="preserve">Semi-dilated non-reacting pupil</t>
  </si>
  <si>
    <t xml:space="preserve">Acute angle closure</t>
  </si>
  <si>
    <t xml:space="preserve">SGN-029</t>
  </si>
  <si>
    <t xml:space="preserve">Relative afferent pupillary defect</t>
  </si>
  <si>
    <t xml:space="preserve">RAPD</t>
  </si>
  <si>
    <t xml:space="preserve">Paradoxical dilation on swinging light</t>
  </si>
  <si>
    <t xml:space="preserve">Optic neuritis, advanced glaucoma, RD, CRAO</t>
  </si>
  <si>
    <t xml:space="preserve">SGN-030</t>
  </si>
  <si>
    <t xml:space="preserve">Leukocoria</t>
  </si>
  <si>
    <t xml:space="preserve">White pupillary reflex</t>
  </si>
  <si>
    <t xml:space="preserve">Cataract, retinoblastoma, ROP</t>
  </si>
  <si>
    <t xml:space="preserve">SGN-031</t>
  </si>
  <si>
    <t xml:space="preserve">Lens opacity grading</t>
  </si>
  <si>
    <t xml:space="preserve">NO / NC / C / P (LOCS III), NS1–4</t>
  </si>
  <si>
    <t xml:space="preserve">Lens</t>
  </si>
  <si>
    <t xml:space="preserve">Standard grading of cataract</t>
  </si>
  <si>
    <t xml:space="preserve">Cataract type and density</t>
  </si>
  <si>
    <t xml:space="preserve">SGN-032</t>
  </si>
  <si>
    <t xml:space="preserve">Phacodonesis / iridodonesis</t>
  </si>
  <si>
    <t xml:space="preserve">Lens / iris</t>
  </si>
  <si>
    <t xml:space="preserve">Tremulous lens / iris</t>
  </si>
  <si>
    <t xml:space="preserve">Subluxated lens, PXF</t>
  </si>
  <si>
    <t xml:space="preserve">SGN-033</t>
  </si>
  <si>
    <t xml:space="preserve">Pseudoexfoliation material</t>
  </si>
  <si>
    <t xml:space="preserve">PXF</t>
  </si>
  <si>
    <t xml:space="preserve">Lens / pupil</t>
  </si>
  <si>
    <t xml:space="preserve">Dandruff-like flakes on lens capsule</t>
  </si>
  <si>
    <t xml:space="preserve">PXF syndrome / glaucoma</t>
  </si>
  <si>
    <t xml:space="preserve">SGN-034</t>
  </si>
  <si>
    <t xml:space="preserve">PCIOL in bag / well-centred</t>
  </si>
  <si>
    <t xml:space="preserve">PCIOL</t>
  </si>
  <si>
    <t xml:space="preserve">Status of implanted IOL</t>
  </si>
  <si>
    <t xml:space="preserve">SGN-035</t>
  </si>
  <si>
    <t xml:space="preserve">Glaucomatous cupping</t>
  </si>
  <si>
    <t xml:space="preserve">Large C:D, notching</t>
  </si>
  <si>
    <t xml:space="preserve">Optic disc</t>
  </si>
  <si>
    <t xml:space="preserve">Enlarged cup, rim thinning (ISNT rule broken)</t>
  </si>
  <si>
    <t xml:space="preserve">SGN-036</t>
  </si>
  <si>
    <t xml:space="preserve">Disc haemorrhage (splinter)</t>
  </si>
  <si>
    <t xml:space="preserve">Flame haemorrhage at disc margin</t>
  </si>
  <si>
    <t xml:space="preserve">Glaucoma progression, NTG</t>
  </si>
  <si>
    <t xml:space="preserve">SGN-037</t>
  </si>
  <si>
    <t xml:space="preserve">Disc pallor</t>
  </si>
  <si>
    <t xml:space="preserve">Pale disc</t>
  </si>
  <si>
    <t xml:space="preserve">SGN-038</t>
  </si>
  <si>
    <t xml:space="preserve">Disc oedema</t>
  </si>
  <si>
    <t xml:space="preserve">Swollen, blurred disc margins</t>
  </si>
  <si>
    <t xml:space="preserve">Papilloedema, optic neuritis (papillitis), AION</t>
  </si>
  <si>
    <t xml:space="preserve">SGN-039</t>
  </si>
  <si>
    <t xml:space="preserve">Microaneurysms</t>
  </si>
  <si>
    <t xml:space="preserve">MA</t>
  </si>
  <si>
    <t xml:space="preserve">Tiny red dots</t>
  </si>
  <si>
    <t xml:space="preserve">Diabetic retinopathy (earliest sign)</t>
  </si>
  <si>
    <t xml:space="preserve">SGN-040</t>
  </si>
  <si>
    <t xml:space="preserve">Dot-blot haemorrhages</t>
  </si>
  <si>
    <t xml:space="preserve">Intraretinal haemorrhages</t>
  </si>
  <si>
    <t xml:space="preserve">DR, vein occlusion</t>
  </si>
  <si>
    <t xml:space="preserve">SGN-041</t>
  </si>
  <si>
    <t xml:space="preserve">Flame-shaped haemorrhages</t>
  </si>
  <si>
    <t xml:space="preserve">Haemorrhages in nerve fibre layer</t>
  </si>
  <si>
    <t xml:space="preserve">Hypertensive retinopathy, CRVO</t>
  </si>
  <si>
    <t xml:space="preserve">SGN-042</t>
  </si>
  <si>
    <t xml:space="preserve">Hard exudates</t>
  </si>
  <si>
    <t xml:space="preserve">HE</t>
  </si>
  <si>
    <t xml:space="preserve">Yellow lipid deposits</t>
  </si>
  <si>
    <t xml:space="preserve">DR, DME</t>
  </si>
  <si>
    <t xml:space="preserve">SGN-043</t>
  </si>
  <si>
    <t xml:space="preserve">Cotton-wool spots</t>
  </si>
  <si>
    <t xml:space="preserve">CWS</t>
  </si>
  <si>
    <t xml:space="preserve">Fluffy white nerve fibre infarcts</t>
  </si>
  <si>
    <t xml:space="preserve">DR, hypertension, HIV</t>
  </si>
  <si>
    <t xml:space="preserve">SGN-044</t>
  </si>
  <si>
    <t xml:space="preserve">Neovascularisation of disc / elsewhere</t>
  </si>
  <si>
    <t xml:space="preserve">NVD / NVE</t>
  </si>
  <si>
    <t xml:space="preserve">Abnormal new vessels</t>
  </si>
  <si>
    <t xml:space="preserve">PDR, ischaemic CRVO</t>
  </si>
  <si>
    <t xml:space="preserve">SGN-045</t>
  </si>
  <si>
    <t xml:space="preserve">Venous beading / IRMA</t>
  </si>
  <si>
    <t xml:space="preserve">IRMA</t>
  </si>
  <si>
    <t xml:space="preserve">Irregular veins / intraretinal microvascular abnormalities</t>
  </si>
  <si>
    <t xml:space="preserve">Severe NPDR</t>
  </si>
  <si>
    <t xml:space="preserve">SGN-046</t>
  </si>
  <si>
    <t xml:space="preserve">Arteriovenous nicking</t>
  </si>
  <si>
    <t xml:space="preserve">AV nicking</t>
  </si>
  <si>
    <t xml:space="preserve">Vein compressed by artery</t>
  </si>
  <si>
    <t xml:space="preserve">SGN-047</t>
  </si>
  <si>
    <t xml:space="preserve">Cherry-red spot</t>
  </si>
  <si>
    <t xml:space="preserve">Macula</t>
  </si>
  <si>
    <t xml:space="preserve">Red fovea surrounded by pale retina</t>
  </si>
  <si>
    <t xml:space="preserve">CRAO</t>
  </si>
  <si>
    <t xml:space="preserve">SGN-048</t>
  </si>
  <si>
    <t xml:space="preserve">Drusen</t>
  </si>
  <si>
    <t xml:space="preserve">Yellow deposits under retina</t>
  </si>
  <si>
    <t xml:space="preserve">ARMD</t>
  </si>
  <si>
    <t xml:space="preserve">SGN-049</t>
  </si>
  <si>
    <t xml:space="preserve">Macular oedema</t>
  </si>
  <si>
    <t xml:space="preserve">CMT increased</t>
  </si>
  <si>
    <t xml:space="preserve">Retinal thickening at macula</t>
  </si>
  <si>
    <t xml:space="preserve">DME, CRVO, CME, uveitis</t>
  </si>
  <si>
    <t xml:space="preserve">SGN-050</t>
  </si>
  <si>
    <t xml:space="preserve">Subretinal fluid</t>
  </si>
  <si>
    <t xml:space="preserve">SRF</t>
  </si>
  <si>
    <t xml:space="preserve">Fluid under retina</t>
  </si>
  <si>
    <t xml:space="preserve">CSCR, RD, wet AMD</t>
  </si>
  <si>
    <t xml:space="preserve">SGN-051</t>
  </si>
  <si>
    <t xml:space="preserve">Tobacco dust (Shafer's sign)</t>
  </si>
  <si>
    <t xml:space="preserve">Pigment cells in anterior vitreous</t>
  </si>
  <si>
    <t xml:space="preserve">Retinal tear / RD</t>
  </si>
  <si>
    <t xml:space="preserve">SGN-052</t>
  </si>
  <si>
    <t xml:space="preserve">Bone-spicule pigmentation</t>
  </si>
  <si>
    <t xml:space="preserve">Black pigment clumps in periphery</t>
  </si>
  <si>
    <t xml:space="preserve">SGN-053</t>
  </si>
  <si>
    <t xml:space="preserve">Weiss ring</t>
  </si>
  <si>
    <t xml:space="preserve">Ring-shaped floater over disc</t>
  </si>
  <si>
    <t xml:space="preserve">PVD</t>
  </si>
  <si>
    <t xml:space="preserve">SGN-054</t>
  </si>
  <si>
    <t xml:space="preserve">Lid margin crusting / collarettes</t>
  </si>
  <si>
    <t xml:space="preserve">Scales around lashes</t>
  </si>
  <si>
    <t xml:space="preserve">Blepharitis, Demodex</t>
  </si>
  <si>
    <t xml:space="preserve">SGN-055</t>
  </si>
  <si>
    <t xml:space="preserve">Meibomian gland plugging</t>
  </si>
  <si>
    <t xml:space="preserve">Capped gland orifices, thick secretions</t>
  </si>
  <si>
    <t xml:space="preserve">MGD</t>
  </si>
  <si>
    <t xml:space="preserve">SGN-056</t>
  </si>
  <si>
    <t xml:space="preserve">Lid retraction / lid lag</t>
  </si>
  <si>
    <t xml:space="preserve">Upper lid higher than normal, lags on downgaze</t>
  </si>
  <si>
    <t xml:space="preserve">SGN-057</t>
  </si>
  <si>
    <t xml:space="preserve">Eye pushed forward (Hertel)</t>
  </si>
  <si>
    <t xml:space="preserve">TED, orbital tumour</t>
  </si>
  <si>
    <t xml:space="preserve">SGN-058</t>
  </si>
  <si>
    <t xml:space="preserve">Enophthalmos</t>
  </si>
  <si>
    <t xml:space="preserve">Sunken eye</t>
  </si>
  <si>
    <t xml:space="preserve">Blow-out fracture</t>
  </si>
  <si>
    <t xml:space="preserve">SGN-059</t>
  </si>
  <si>
    <t xml:space="preserve">Restricted EOM</t>
  </si>
  <si>
    <t xml:space="preserve">Muscles</t>
  </si>
  <si>
    <t xml:space="preserve">Limited eye movement</t>
  </si>
  <si>
    <t xml:space="preserve">Nerve palsy, TED, fracture, orbital cellulitis</t>
  </si>
  <si>
    <t xml:space="preserve">Generic Name</t>
  </si>
  <si>
    <t xml:space="preserve">Drug Class</t>
  </si>
  <si>
    <t xml:space="preserve">Dosage Form</t>
  </si>
  <si>
    <t xml:space="preserve">Common Strength</t>
  </si>
  <si>
    <t xml:space="preserve">Typical Prescription Usage</t>
  </si>
  <si>
    <t xml:space="preserve">Indications</t>
  </si>
  <si>
    <t xml:space="preserve">Key Cautions / Side Effects</t>
  </si>
  <si>
    <t xml:space="preserve">Example Brands (India, indicative)</t>
  </si>
  <si>
    <t xml:space="preserve">MED-001</t>
  </si>
  <si>
    <t xml:space="preserve">Moxifloxacin</t>
  </si>
  <si>
    <t xml:space="preserve">Antibiotic – fluoroquinolone</t>
  </si>
  <si>
    <t xml:space="preserve">Eye drops</t>
  </si>
  <si>
    <t xml:space="preserve">0.5%</t>
  </si>
  <si>
    <t xml:space="preserve">1 drop QID × 7 days; post-op 1 drop 4–6 times/day then taper</t>
  </si>
  <si>
    <t xml:space="preserve">Bacterial conjunctivitis, keratitis, post-operative prophylaxis</t>
  </si>
  <si>
    <t xml:space="preserve">Transient stinging</t>
  </si>
  <si>
    <t xml:space="preserve">Vigamox, Milflox, Moxicip</t>
  </si>
  <si>
    <t xml:space="preserve">MED-002</t>
  </si>
  <si>
    <t xml:space="preserve">Gatifloxacin</t>
  </si>
  <si>
    <t xml:space="preserve">0.3% / 0.5%</t>
  </si>
  <si>
    <t xml:space="preserve">1 drop QID × 7 days</t>
  </si>
  <si>
    <t xml:space="preserve">Bacterial conjunctivitis, post-op prophylaxis</t>
  </si>
  <si>
    <t xml:space="preserve">Stinging</t>
  </si>
  <si>
    <t xml:space="preserve">Zymar, Gatiquin</t>
  </si>
  <si>
    <t xml:space="preserve">MED-003</t>
  </si>
  <si>
    <t xml:space="preserve">Ofloxacin</t>
  </si>
  <si>
    <t xml:space="preserve">Eye drops / ointment</t>
  </si>
  <si>
    <t xml:space="preserve">0.3%</t>
  </si>
  <si>
    <t xml:space="preserve">1 drop QID × 5–7 days</t>
  </si>
  <si>
    <t xml:space="preserve">Bacterial conjunctivitis, corneal ulcer</t>
  </si>
  <si>
    <t xml:space="preserve">Exocin, Zenflox</t>
  </si>
  <si>
    <t xml:space="preserve">MED-004</t>
  </si>
  <si>
    <t xml:space="preserve">Ciprofloxacin</t>
  </si>
  <si>
    <t xml:space="preserve">1 drop QID; ointment HS</t>
  </si>
  <si>
    <t xml:space="preserve">Conjunctivitis, corneal ulcer</t>
  </si>
  <si>
    <t xml:space="preserve">White corneal precipitates with intensive use</t>
  </si>
  <si>
    <t xml:space="preserve">Ciplox</t>
  </si>
  <si>
    <t xml:space="preserve">MED-005</t>
  </si>
  <si>
    <t xml:space="preserve">Tobramycin</t>
  </si>
  <si>
    <t xml:space="preserve">Antibiotic – aminoglycoside</t>
  </si>
  <si>
    <t xml:space="preserve">Epithelial toxicity with prolonged use</t>
  </si>
  <si>
    <t xml:space="preserve">Tobrex, Toba</t>
  </si>
  <si>
    <t xml:space="preserve">MED-006</t>
  </si>
  <si>
    <t xml:space="preserve">Gentamicin</t>
  </si>
  <si>
    <t xml:space="preserve">1 drop QID</t>
  </si>
  <si>
    <t xml:space="preserve">Epithelial toxicity</t>
  </si>
  <si>
    <t xml:space="preserve">Genticyn</t>
  </si>
  <si>
    <t xml:space="preserve">MED-007</t>
  </si>
  <si>
    <t xml:space="preserve">Chloramphenicol</t>
  </si>
  <si>
    <t xml:space="preserve">Eye drops / ointment / applicaps</t>
  </si>
  <si>
    <t xml:space="preserve">0.5% drops, 1% ointment</t>
  </si>
  <si>
    <t xml:space="preserve">Conjunctivitis, stye, post-FB removal</t>
  </si>
  <si>
    <t xml:space="preserve">Rare blood dyscrasia (theoretical)</t>
  </si>
  <si>
    <t xml:space="preserve">Chloromycetin Applicaps</t>
  </si>
  <si>
    <t xml:space="preserve">MED-008</t>
  </si>
  <si>
    <t xml:space="preserve">Azithromycin (topical)</t>
  </si>
  <si>
    <t xml:space="preserve">Antibiotic – macrolide</t>
  </si>
  <si>
    <t xml:space="preserve">1%</t>
  </si>
  <si>
    <t xml:space="preserve">1 drop BD × 2 days then OD × 5 days</t>
  </si>
  <si>
    <t xml:space="preserve">Bacterial conjunctivitis, blepharitis / MGD</t>
  </si>
  <si>
    <t xml:space="preserve">Blurring, irritation</t>
  </si>
  <si>
    <t xml:space="preserve">AzaSite</t>
  </si>
  <si>
    <t xml:space="preserve">MED-009</t>
  </si>
  <si>
    <t xml:space="preserve">Fusidic acid</t>
  </si>
  <si>
    <t xml:space="preserve">Viscous drops / gel</t>
  </si>
  <si>
    <t xml:space="preserve">1 drop BD × 7 days</t>
  </si>
  <si>
    <t xml:space="preserve">Conjunctivitis, stye, children</t>
  </si>
  <si>
    <t xml:space="preserve">Fucithalmic</t>
  </si>
  <si>
    <t xml:space="preserve">MED-010</t>
  </si>
  <si>
    <t xml:space="preserve">Fortified cefazolin</t>
  </si>
  <si>
    <t xml:space="preserve">Antibiotic – cephalosporin (compounded)</t>
  </si>
  <si>
    <t xml:space="preserve">5% (50 mg/ml)</t>
  </si>
  <si>
    <t xml:space="preserve">1 drop hourly (loading), then taper</t>
  </si>
  <si>
    <t xml:space="preserve">Bacterial corneal ulcer (Gram-positive)</t>
  </si>
  <si>
    <t xml:space="preserve">Prepared in pharmacy; refrigerate; short shelf life</t>
  </si>
  <si>
    <t xml:space="preserve">Hospital-prepared</t>
  </si>
  <si>
    <t xml:space="preserve">MED-011</t>
  </si>
  <si>
    <t xml:space="preserve">Fortified tobramycin</t>
  </si>
  <si>
    <t xml:space="preserve">Antibiotic – aminoglycoside (compounded)</t>
  </si>
  <si>
    <t xml:space="preserve">1.3%</t>
  </si>
  <si>
    <t xml:space="preserve">1 drop hourly, alternating with cefazolin</t>
  </si>
  <si>
    <t xml:space="preserve">Bacterial corneal ulcer (Gram-negative)</t>
  </si>
  <si>
    <t xml:space="preserve">MED-012</t>
  </si>
  <si>
    <t xml:space="preserve">Fortified vancomycin</t>
  </si>
  <si>
    <t xml:space="preserve">Antibiotic – glycopeptide (compounded)</t>
  </si>
  <si>
    <t xml:space="preserve">5%</t>
  </si>
  <si>
    <t xml:space="preserve">1 drop hourly</t>
  </si>
  <si>
    <t xml:space="preserve">MRSA keratitis</t>
  </si>
  <si>
    <t xml:space="preserve">Toxicity</t>
  </si>
  <si>
    <t xml:space="preserve">MED-013</t>
  </si>
  <si>
    <t xml:space="preserve">Natamycin</t>
  </si>
  <si>
    <t xml:space="preserve">Antifungal – polyene</t>
  </si>
  <si>
    <t xml:space="preserve">Eye suspension</t>
  </si>
  <si>
    <t xml:space="preserve">1 drop hourly × first days, then 2-hourly; shake well</t>
  </si>
  <si>
    <t xml:space="preserve">Fungal keratitis (filamentary – Fusarium, Aspergillus)</t>
  </si>
  <si>
    <t xml:space="preserve">Poor penetration in deep ulcers; stinging</t>
  </si>
  <si>
    <t xml:space="preserve">Natamet, Natacyn</t>
  </si>
  <si>
    <t xml:space="preserve">MED-014</t>
  </si>
  <si>
    <t xml:space="preserve">Voriconazole (topical)</t>
  </si>
  <si>
    <t xml:space="preserve">Antifungal – triazole</t>
  </si>
  <si>
    <t xml:space="preserve">1 drop hourly then taper</t>
  </si>
  <si>
    <t xml:space="preserve">Fungal keratitis (deep / resistant)</t>
  </si>
  <si>
    <t xml:space="preserve">Hospital / commercial preparations</t>
  </si>
  <si>
    <t xml:space="preserve">MED-015</t>
  </si>
  <si>
    <t xml:space="preserve">Voriconazole (intrastromal / intravitreal)</t>
  </si>
  <si>
    <t xml:space="preserve">Injection</t>
  </si>
  <si>
    <t xml:space="preserve">50 µg/0.1 ml</t>
  </si>
  <si>
    <t xml:space="preserve">Intrastromal or intravitreal injection</t>
  </si>
  <si>
    <t xml:space="preserve">Deep fungal keratitis, fungal endophthalmitis</t>
  </si>
  <si>
    <t xml:space="preserve">Procedure-related risks</t>
  </si>
  <si>
    <t xml:space="preserve">MED-016</t>
  </si>
  <si>
    <t xml:space="preserve">Fluconazole / Itraconazole (oral)</t>
  </si>
  <si>
    <t xml:space="preserve">Antifungal – azole</t>
  </si>
  <si>
    <t xml:space="preserve">Tablets / capsules</t>
  </si>
  <si>
    <t xml:space="preserve">150 mg; 100–200 mg</t>
  </si>
  <si>
    <t xml:space="preserve">Once or twice daily with food</t>
  </si>
  <si>
    <t xml:space="preserve">Adjunct in severe fungal keratitis</t>
  </si>
  <si>
    <t xml:space="preserve">Liver function monitoring</t>
  </si>
  <si>
    <t xml:space="preserve">MED-017</t>
  </si>
  <si>
    <t xml:space="preserve">Chlorhexidine / PHMB</t>
  </si>
  <si>
    <t xml:space="preserve">Anti-amoebic</t>
  </si>
  <si>
    <t xml:space="preserve">Eye drops (compounded)</t>
  </si>
  <si>
    <t xml:space="preserve">0.02%</t>
  </si>
  <si>
    <t xml:space="preserve">1 drop hourly then taper over months</t>
  </si>
  <si>
    <t xml:space="preserve">MED-018</t>
  </si>
  <si>
    <t xml:space="preserve">Acyclovir (topical)</t>
  </si>
  <si>
    <t xml:space="preserve">Eye ointment</t>
  </si>
  <si>
    <t xml:space="preserve">3%</t>
  </si>
  <si>
    <t xml:space="preserve">5 times daily × 10–14 days</t>
  </si>
  <si>
    <t xml:space="preserve">HSV epithelial keratitis</t>
  </si>
  <si>
    <t xml:space="preserve">Punctate keratopathy</t>
  </si>
  <si>
    <t xml:space="preserve">Zovirax</t>
  </si>
  <si>
    <t xml:space="preserve">MED-019</t>
  </si>
  <si>
    <t xml:space="preserve">Ganciclovir</t>
  </si>
  <si>
    <t xml:space="preserve">Eye gel</t>
  </si>
  <si>
    <t xml:space="preserve">0.15%</t>
  </si>
  <si>
    <t xml:space="preserve">1 drop 5 times/day until healed, then TID × 7 days</t>
  </si>
  <si>
    <t xml:space="preserve">HSV dendritic keratitis</t>
  </si>
  <si>
    <t xml:space="preserve">Virgan</t>
  </si>
  <si>
    <t xml:space="preserve">MED-020</t>
  </si>
  <si>
    <t xml:space="preserve">Acyclovir (oral)</t>
  </si>
  <si>
    <t xml:space="preserve">Tablets</t>
  </si>
  <si>
    <t xml:space="preserve">400 mg / 800 mg</t>
  </si>
  <si>
    <t xml:space="preserve">HSV: 400 mg 5×/day; HZO: 800 mg 5×/day × 7–10 days; prophylaxis 400 mg BD</t>
  </si>
  <si>
    <t xml:space="preserve">HSV keratitis, HZO, ARN</t>
  </si>
  <si>
    <t xml:space="preserve">Adjust in renal impairment</t>
  </si>
  <si>
    <t xml:space="preserve">Zovirax, Acivir</t>
  </si>
  <si>
    <t xml:space="preserve">MED-021</t>
  </si>
  <si>
    <t xml:space="preserve">Valacyclovir</t>
  </si>
  <si>
    <t xml:space="preserve">500 mg / 1 g</t>
  </si>
  <si>
    <t xml:space="preserve">HZO: 1 g TID × 7 days</t>
  </si>
  <si>
    <t xml:space="preserve">HZO, HSV</t>
  </si>
  <si>
    <t xml:space="preserve">Renal adjustment</t>
  </si>
  <si>
    <t xml:space="preserve">Valcivir</t>
  </si>
  <si>
    <t xml:space="preserve">MED-022</t>
  </si>
  <si>
    <t xml:space="preserve">Prednisolone acetate</t>
  </si>
  <si>
    <t xml:space="preserve">Corticosteroid (strong)</t>
  </si>
  <si>
    <t xml:space="preserve">1 drop QID / 2-hourly then taper weekly; SHAKE WELL</t>
  </si>
  <si>
    <t xml:space="preserve">Anterior uveitis, post-op inflammation, graft rejection</t>
  </si>
  <si>
    <t xml:space="preserve">Raised IOP, cataract, infection risk – monitor IOP</t>
  </si>
  <si>
    <t xml:space="preserve">Pred Forte</t>
  </si>
  <si>
    <t xml:space="preserve">MED-023</t>
  </si>
  <si>
    <t xml:space="preserve">Dexamethasone</t>
  </si>
  <si>
    <t xml:space="preserve">0.1%</t>
  </si>
  <si>
    <t xml:space="preserve">1 drop QID then taper</t>
  </si>
  <si>
    <t xml:space="preserve">Post-op inflammation, allergic / inflammatory conditions</t>
  </si>
  <si>
    <t xml:space="preserve">Raised IOP, cataract</t>
  </si>
  <si>
    <t xml:space="preserve">Maxidex</t>
  </si>
  <si>
    <t xml:space="preserve">MED-024</t>
  </si>
  <si>
    <t xml:space="preserve">Difluprednate</t>
  </si>
  <si>
    <t xml:space="preserve">Corticosteroid (very strong)</t>
  </si>
  <si>
    <t xml:space="preserve">Eye emulsion</t>
  </si>
  <si>
    <t xml:space="preserve">0.05%</t>
  </si>
  <si>
    <t xml:space="preserve">1 drop QID × 2 weeks then taper</t>
  </si>
  <si>
    <t xml:space="preserve">Post-op inflammation, uveitis</t>
  </si>
  <si>
    <t xml:space="preserve">Marked IOP rise in steroid responders</t>
  </si>
  <si>
    <t xml:space="preserve">Durezol</t>
  </si>
  <si>
    <t xml:space="preserve">MED-025</t>
  </si>
  <si>
    <t xml:space="preserve">Loteprednol etabonate</t>
  </si>
  <si>
    <t xml:space="preserve">Corticosteroid (soft)</t>
  </si>
  <si>
    <t xml:space="preserve">Eye suspension / gel</t>
  </si>
  <si>
    <t xml:space="preserve">0.5% / 0.2%</t>
  </si>
  <si>
    <t xml:space="preserve">1 drop QID × 1–2 weeks</t>
  </si>
  <si>
    <t xml:space="preserve">Allergic conjunctivitis, post-op, dry eye flares</t>
  </si>
  <si>
    <t xml:space="preserve">Lower IOP-raising potential</t>
  </si>
  <si>
    <t xml:space="preserve">Lotepred, Lotemax</t>
  </si>
  <si>
    <t xml:space="preserve">MED-026</t>
  </si>
  <si>
    <t xml:space="preserve">Fluorometholone</t>
  </si>
  <si>
    <t xml:space="preserve">Corticosteroid (mild)</t>
  </si>
  <si>
    <t xml:space="preserve">1 drop BD–QID</t>
  </si>
  <si>
    <t xml:space="preserve">Allergic conjunctivitis, episcleritis, post-PRK, SEIs</t>
  </si>
  <si>
    <t xml:space="preserve">Lower IOP risk; still monitor</t>
  </si>
  <si>
    <t xml:space="preserve">FML, Flarex</t>
  </si>
  <si>
    <t xml:space="preserve">MED-027</t>
  </si>
  <si>
    <t xml:space="preserve">Hydrocortisone (preservative-free)</t>
  </si>
  <si>
    <t xml:space="preserve">0.335%</t>
  </si>
  <si>
    <t xml:space="preserve">1–2 drops daily</t>
  </si>
  <si>
    <t xml:space="preserve">Mild allergic / inflammatory surface disease</t>
  </si>
  <si>
    <t xml:space="preserve">Softacort</t>
  </si>
  <si>
    <t xml:space="preserve">MED-028</t>
  </si>
  <si>
    <t xml:space="preserve">Nepafenac</t>
  </si>
  <si>
    <t xml:space="preserve">0.1% / 0.3%</t>
  </si>
  <si>
    <t xml:space="preserve">1 drop TID (0.1%) starting 1 day pre-op, continue 2–4 weeks</t>
  </si>
  <si>
    <t xml:space="preserve">Post-cataract pain / inflammation, CME prevention</t>
  </si>
  <si>
    <t xml:space="preserve">Corneal melt with prolonged use</t>
  </si>
  <si>
    <t xml:space="preserve">Nevanac</t>
  </si>
  <si>
    <t xml:space="preserve">MED-029</t>
  </si>
  <si>
    <t xml:space="preserve">Ketorolac tromethamine</t>
  </si>
  <si>
    <t xml:space="preserve">0.4% / 0.5%</t>
  </si>
  <si>
    <t xml:space="preserve">Post-op inflammation, CME, allergic itching</t>
  </si>
  <si>
    <t xml:space="preserve">Acular, Ketlur</t>
  </si>
  <si>
    <t xml:space="preserve">MED-030</t>
  </si>
  <si>
    <t xml:space="preserve">Bromfenac</t>
  </si>
  <si>
    <t xml:space="preserve">0.09%</t>
  </si>
  <si>
    <t xml:space="preserve">1 drop BD</t>
  </si>
  <si>
    <t xml:space="preserve">Post-op inflammation, CME</t>
  </si>
  <si>
    <t xml:space="preserve">Corneal toxicity with long use</t>
  </si>
  <si>
    <t xml:space="preserve">MED-031</t>
  </si>
  <si>
    <t xml:space="preserve">Flurbiprofen</t>
  </si>
  <si>
    <t xml:space="preserve">0.03%</t>
  </si>
  <si>
    <t xml:space="preserve">1 drop every 30 min × 4 doses pre-op</t>
  </si>
  <si>
    <t xml:space="preserve">Maintain pupil dilation during surgery</t>
  </si>
  <si>
    <t xml:space="preserve">Ocufen</t>
  </si>
  <si>
    <t xml:space="preserve">MED-032</t>
  </si>
  <si>
    <t xml:space="preserve">Timolol maleate</t>
  </si>
  <si>
    <t xml:space="preserve">Anti-glaucoma – beta-blocker</t>
  </si>
  <si>
    <t xml:space="preserve">Eye drops / gel</t>
  </si>
  <si>
    <t xml:space="preserve">0.25% / 0.5%</t>
  </si>
  <si>
    <t xml:space="preserve">1 drop BD (gel OD morning)</t>
  </si>
  <si>
    <t xml:space="preserve">POAG, OHT, secondary glaucoma, acute glaucoma</t>
  </si>
  <si>
    <t xml:space="preserve">Avoid in asthma, COPD, bradycardia, heart block</t>
  </si>
  <si>
    <t xml:space="preserve">Iotim, Glucomol, Timoptic</t>
  </si>
  <si>
    <t xml:space="preserve">MED-033</t>
  </si>
  <si>
    <t xml:space="preserve">Betaxolol</t>
  </si>
  <si>
    <t xml:space="preserve">Anti-glaucoma – selective beta-blocker</t>
  </si>
  <si>
    <t xml:space="preserve">Glaucoma where lung caution needed</t>
  </si>
  <si>
    <t xml:space="preserve">Less potent; still caution in asthma</t>
  </si>
  <si>
    <t xml:space="preserve">Betoptic</t>
  </si>
  <si>
    <t xml:space="preserve">MED-034</t>
  </si>
  <si>
    <t xml:space="preserve">Latanoprost</t>
  </si>
  <si>
    <t xml:space="preserve">Anti-glaucoma – prostaglandin analogue</t>
  </si>
  <si>
    <t xml:space="preserve">0.005%</t>
  </si>
  <si>
    <t xml:space="preserve">1 drop once daily at bedtime (HS); refrigerate unopened bottle</t>
  </si>
  <si>
    <t xml:space="preserve">POAG, OHT, NTG (first line)</t>
  </si>
  <si>
    <t xml:space="preserve">Iris darkening, lash growth, redness, periocular pigmentation</t>
  </si>
  <si>
    <t xml:space="preserve">Xalatan, Latoprost</t>
  </si>
  <si>
    <t xml:space="preserve">MED-035</t>
  </si>
  <si>
    <t xml:space="preserve">Bimatoprost</t>
  </si>
  <si>
    <t xml:space="preserve">0.01% / 0.03%</t>
  </si>
  <si>
    <t xml:space="preserve">1 drop HS</t>
  </si>
  <si>
    <t xml:space="preserve">POAG, OHT</t>
  </si>
  <si>
    <t xml:space="preserve">Redness, lash growth, fat atrophy (PAP)</t>
  </si>
  <si>
    <t xml:space="preserve">Lumigan, Careprost</t>
  </si>
  <si>
    <t xml:space="preserve">MED-036</t>
  </si>
  <si>
    <t xml:space="preserve">Travoprost</t>
  </si>
  <si>
    <t xml:space="preserve">0.004%</t>
  </si>
  <si>
    <t xml:space="preserve">Redness, iris pigmentation</t>
  </si>
  <si>
    <t xml:space="preserve">Travatan</t>
  </si>
  <si>
    <t xml:space="preserve">MED-037</t>
  </si>
  <si>
    <t xml:space="preserve">Tafluprost</t>
  </si>
  <si>
    <t xml:space="preserve">Eye drops (preservative-free)</t>
  </si>
  <si>
    <t xml:space="preserve">0.0015%</t>
  </si>
  <si>
    <t xml:space="preserve">POAG with surface disease</t>
  </si>
  <si>
    <t xml:space="preserve">Redness</t>
  </si>
  <si>
    <t xml:space="preserve">Taflotan</t>
  </si>
  <si>
    <t xml:space="preserve">MED-038</t>
  </si>
  <si>
    <t xml:space="preserve">Brimonidine tartrate</t>
  </si>
  <si>
    <t xml:space="preserve">Anti-glaucoma – alpha-2 agonist</t>
  </si>
  <si>
    <t xml:space="preserve">0.1% / 0.15% / 0.2%</t>
  </si>
  <si>
    <t xml:space="preserve">1 drop BD–TID</t>
  </si>
  <si>
    <t xml:space="preserve">POAG, OHT, post-laser IOP spike</t>
  </si>
  <si>
    <t xml:space="preserve">Allergy (follicular), dry mouth, fatigue; AVOID in infants / children &lt; 2 yrs</t>
  </si>
  <si>
    <t xml:space="preserve">Alphagan, Alphagan-P</t>
  </si>
  <si>
    <t xml:space="preserve">MED-039</t>
  </si>
  <si>
    <t xml:space="preserve">Apraclonidine</t>
  </si>
  <si>
    <t xml:space="preserve">0.5% / 1%</t>
  </si>
  <si>
    <t xml:space="preserve">1 drop 1 hour before and after laser</t>
  </si>
  <si>
    <t xml:space="preserve">Prevent IOP spike after YAG / SLT</t>
  </si>
  <si>
    <t xml:space="preserve">Allergy with long use</t>
  </si>
  <si>
    <t xml:space="preserve">Iopidine</t>
  </si>
  <si>
    <t xml:space="preserve">MED-040</t>
  </si>
  <si>
    <t xml:space="preserve">Dorzolamide</t>
  </si>
  <si>
    <t xml:space="preserve">Anti-glaucoma – carbonic anhydrase inhibitor</t>
  </si>
  <si>
    <t xml:space="preserve">2%</t>
  </si>
  <si>
    <t xml:space="preserve">1 drop TID (BD with timolol)</t>
  </si>
  <si>
    <t xml:space="preserve">Stinging, bitter taste; sulfa allergy caution</t>
  </si>
  <si>
    <t xml:space="preserve">Trusopt, Dorzox</t>
  </si>
  <si>
    <t xml:space="preserve">MED-041</t>
  </si>
  <si>
    <t xml:space="preserve">Brinzolamide</t>
  </si>
  <si>
    <t xml:space="preserve">Blur, bitter taste</t>
  </si>
  <si>
    <t xml:space="preserve">Azopt</t>
  </si>
  <si>
    <t xml:space="preserve">MED-042</t>
  </si>
  <si>
    <t xml:space="preserve">Netarsudil</t>
  </si>
  <si>
    <t xml:space="preserve">Anti-glaucoma – Rho-kinase inhibitor</t>
  </si>
  <si>
    <t xml:space="preserve">Conjunctival redness, corneal verticillata</t>
  </si>
  <si>
    <t xml:space="preserve">Rhopressa</t>
  </si>
  <si>
    <t xml:space="preserve">MED-043</t>
  </si>
  <si>
    <t xml:space="preserve">Pilocarpine</t>
  </si>
  <si>
    <t xml:space="preserve">Miotic – cholinergic</t>
  </si>
  <si>
    <t xml:space="preserve">1% / 2% / 4%</t>
  </si>
  <si>
    <t xml:space="preserve">1 drop QID; in acute attack every 15 min × 2 then QID</t>
  </si>
  <si>
    <t xml:space="preserve">Acute angle closure (after IOP lowered), pre-YAG PI</t>
  </si>
  <si>
    <t xml:space="preserve">Brow ache, dim vision, myopia; RD risk</t>
  </si>
  <si>
    <t xml:space="preserve">Pilocar</t>
  </si>
  <si>
    <t xml:space="preserve">MED-044</t>
  </si>
  <si>
    <t xml:space="preserve">Dorzolamide + Timolol</t>
  </si>
  <si>
    <t xml:space="preserve">Anti-glaucoma – fixed combination</t>
  </si>
  <si>
    <t xml:space="preserve">2% + 0.5%</t>
  </si>
  <si>
    <t xml:space="preserve">POAG not controlled on one drug</t>
  </si>
  <si>
    <t xml:space="preserve">As per components</t>
  </si>
  <si>
    <t xml:space="preserve">Cosopt, Dorzox-T</t>
  </si>
  <si>
    <t xml:space="preserve">MED-045</t>
  </si>
  <si>
    <t xml:space="preserve">Brimonidine + Timolol</t>
  </si>
  <si>
    <t xml:space="preserve">0.2% + 0.5%</t>
  </si>
  <si>
    <t xml:space="preserve">Combigan</t>
  </si>
  <si>
    <t xml:space="preserve">MED-046</t>
  </si>
  <si>
    <t xml:space="preserve">Latanoprost + Timolol</t>
  </si>
  <si>
    <t xml:space="preserve">0.005% + 0.5%</t>
  </si>
  <si>
    <t xml:space="preserve">1 drop once daily</t>
  </si>
  <si>
    <t xml:space="preserve">Xalacom</t>
  </si>
  <si>
    <t xml:space="preserve">MED-047</t>
  </si>
  <si>
    <t xml:space="preserve">Bimatoprost + Timolol</t>
  </si>
  <si>
    <t xml:space="preserve">0.03% + 0.5%</t>
  </si>
  <si>
    <t xml:space="preserve">1 drop once daily (morning)</t>
  </si>
  <si>
    <t xml:space="preserve">Ganfort</t>
  </si>
  <si>
    <t xml:space="preserve">MED-048</t>
  </si>
  <si>
    <t xml:space="preserve">Brinzolamide + Brimonidine</t>
  </si>
  <si>
    <t xml:space="preserve">Anti-glaucoma – fixed combination (beta-blocker-free)</t>
  </si>
  <si>
    <t xml:space="preserve">1% + 0.2%</t>
  </si>
  <si>
    <t xml:space="preserve">POAG where beta-blocker contraindicated</t>
  </si>
  <si>
    <t xml:space="preserve">Simbrinza</t>
  </si>
  <si>
    <t xml:space="preserve">MED-049</t>
  </si>
  <si>
    <t xml:space="preserve">Acetazolamide</t>
  </si>
  <si>
    <t xml:space="preserve">Systemic carbonic anhydrase inhibitor</t>
  </si>
  <si>
    <t xml:space="preserve">Tablets / injection</t>
  </si>
  <si>
    <t xml:space="preserve">250 mg; 500 mg SR</t>
  </si>
  <si>
    <t xml:space="preserve">250 mg QID or 500 mg stat then 250 mg QID × 2–3 days; with potassium</t>
  </si>
  <si>
    <t xml:space="preserve">Acute angle closure, post-op IOP spike, IIH</t>
  </si>
  <si>
    <t xml:space="preserve">Tingling, frequent urination, low K+, kidney stones; sulfa allergy</t>
  </si>
  <si>
    <t xml:space="preserve">Diamox</t>
  </si>
  <si>
    <t xml:space="preserve">MED-050</t>
  </si>
  <si>
    <t xml:space="preserve">Mannitol</t>
  </si>
  <si>
    <t xml:space="preserve">Hyperosmotic agent</t>
  </si>
  <si>
    <t xml:space="preserve">IV infusion</t>
  </si>
  <si>
    <t xml:space="preserve">20% (1–2 g/kg)</t>
  </si>
  <si>
    <t xml:space="preserve">IV over 30–45 min</t>
  </si>
  <si>
    <t xml:space="preserve">Acute angle closure, very high IOP pre-op</t>
  </si>
  <si>
    <t xml:space="preserve">Heart failure, renal failure caution</t>
  </si>
  <si>
    <t xml:space="preserve">MED-051</t>
  </si>
  <si>
    <t xml:space="preserve">Glycerol (oral)</t>
  </si>
  <si>
    <t xml:space="preserve">Oral solution</t>
  </si>
  <si>
    <t xml:space="preserve">50%</t>
  </si>
  <si>
    <t xml:space="preserve">1–1.5 g/kg with lemon juice</t>
  </si>
  <si>
    <t xml:space="preserve">Acute IOP rise</t>
  </si>
  <si>
    <t xml:space="preserve">Avoid in diabetics (sugar load), nausea</t>
  </si>
  <si>
    <t xml:space="preserve">MED-052</t>
  </si>
  <si>
    <t xml:space="preserve">Tropicamide</t>
  </si>
  <si>
    <t xml:space="preserve">Mydriatic – anticholinergic (short-acting)</t>
  </si>
  <si>
    <t xml:space="preserve">1 drop every 10 min × 2–3 for dilation</t>
  </si>
  <si>
    <t xml:space="preserve">Dilated fundus exam, refraction</t>
  </si>
  <si>
    <t xml:space="preserve">Blurred near vision and glare 4–6 hours; angle-closure risk</t>
  </si>
  <si>
    <t xml:space="preserve">Tropicacyl</t>
  </si>
  <si>
    <t xml:space="preserve">MED-053</t>
  </si>
  <si>
    <t xml:space="preserve">Tropicamide + Phenylephrine</t>
  </si>
  <si>
    <t xml:space="preserve">Mydriatic combination</t>
  </si>
  <si>
    <t xml:space="preserve">0.8% + 5%</t>
  </si>
  <si>
    <t xml:space="preserve">1 drop every 10–15 min × 3 before exam / surgery</t>
  </si>
  <si>
    <t xml:space="preserve">Pre-cataract dilation, fundus exam</t>
  </si>
  <si>
    <t xml:space="preserve">Raised BP (phenylephrine) in cardiac patients</t>
  </si>
  <si>
    <t xml:space="preserve">Tropicacyl Plus</t>
  </si>
  <si>
    <t xml:space="preserve">MED-054</t>
  </si>
  <si>
    <t xml:space="preserve">Phenylephrine</t>
  </si>
  <si>
    <t xml:space="preserve">Mydriatic – sympathomimetic</t>
  </si>
  <si>
    <t xml:space="preserve">2.5% / 10%</t>
  </si>
  <si>
    <t xml:space="preserve">1 drop pre-exam / pre-op</t>
  </si>
  <si>
    <t xml:space="preserve">Dilation, break synechiae</t>
  </si>
  <si>
    <t xml:space="preserve">BP rise, avoid 10% in cardiac / infants</t>
  </si>
  <si>
    <t xml:space="preserve">MED-055</t>
  </si>
  <si>
    <t xml:space="preserve">Cyclopentolate</t>
  </si>
  <si>
    <t xml:space="preserve">1 drop every 10–15 min × 3, refract after 45–60 min</t>
  </si>
  <si>
    <t xml:space="preserve">Cycloplegic refraction in children, uveitis</t>
  </si>
  <si>
    <t xml:space="preserve">Psychosis / seizures in small children (rare)</t>
  </si>
  <si>
    <t xml:space="preserve">Cyclogyl</t>
  </si>
  <si>
    <t xml:space="preserve">MED-056</t>
  </si>
  <si>
    <t xml:space="preserve">Atropine sulphate</t>
  </si>
  <si>
    <t xml:space="preserve">Cycloplegic (long-acting)</t>
  </si>
  <si>
    <t xml:space="preserve">Uveitis: 1 drop BD–TID; refraction: ointment BD × 3 days</t>
  </si>
  <si>
    <t xml:space="preserve">Uveitis, cycloplegic refraction in young children, amblyopia penalisation</t>
  </si>
  <si>
    <t xml:space="preserve">Blurred near vision up to 2 weeks, flushing, fever in children</t>
  </si>
  <si>
    <t xml:space="preserve">Atropine sulphate eye drops</t>
  </si>
  <si>
    <t xml:space="preserve">MED-057</t>
  </si>
  <si>
    <t xml:space="preserve">Atropine (low-dose)</t>
  </si>
  <si>
    <t xml:space="preserve">Myopia control agent</t>
  </si>
  <si>
    <t xml:space="preserve">0.01% / 0.025% / 0.05%</t>
  </si>
  <si>
    <t xml:space="preserve">1 drop HS in both eyes, long-term</t>
  </si>
  <si>
    <t xml:space="preserve">Progressive myopia in children</t>
  </si>
  <si>
    <t xml:space="preserve">Mild photophobia, near blur</t>
  </si>
  <si>
    <t xml:space="preserve">MED-058</t>
  </si>
  <si>
    <t xml:space="preserve">Homatropine</t>
  </si>
  <si>
    <t xml:space="preserve">Cycloplegic (medium-acting)</t>
  </si>
  <si>
    <t xml:space="preserve">1 drop TID</t>
  </si>
  <si>
    <t xml:space="preserve">Anterior uveitis, corneal ulcer (pain relief, prevent synechiae)</t>
  </si>
  <si>
    <t xml:space="preserve">Blurred near vision</t>
  </si>
  <si>
    <t xml:space="preserve">Homide</t>
  </si>
  <si>
    <t xml:space="preserve">MED-059</t>
  </si>
  <si>
    <t xml:space="preserve">Proparacaine</t>
  </si>
  <si>
    <t xml:space="preserve">Topical anaesthetic</t>
  </si>
  <si>
    <t xml:space="preserve">1–2 drops before procedure (clinic use only – never prescribe for home)</t>
  </si>
  <si>
    <t xml:space="preserve">Tonometry, FB removal, suture removal, gonioscopy</t>
  </si>
  <si>
    <t xml:space="preserve">Epithelial toxicity if abused</t>
  </si>
  <si>
    <t xml:space="preserve">Paracain</t>
  </si>
  <si>
    <t xml:space="preserve">MED-060</t>
  </si>
  <si>
    <t xml:space="preserve">Lignocaine (lidocaine)</t>
  </si>
  <si>
    <t xml:space="preserve">Local anaesthetic</t>
  </si>
  <si>
    <t xml:space="preserve">Injection / gel</t>
  </si>
  <si>
    <t xml:space="preserve">2% injection; 2–3.5% gel</t>
  </si>
  <si>
    <t xml:space="preserve">Peribulbar / subconjunctival block; topical gel</t>
  </si>
  <si>
    <t xml:space="preserve">Cataract / eye surgery anaesthesia</t>
  </si>
  <si>
    <t xml:space="preserve">Allergy, systemic toxicity</t>
  </si>
  <si>
    <t xml:space="preserve">Xylocaine</t>
  </si>
  <si>
    <t xml:space="preserve">MED-061</t>
  </si>
  <si>
    <t xml:space="preserve">Hyaluronidase</t>
  </si>
  <si>
    <t xml:space="preserve">Enzyme adjunct</t>
  </si>
  <si>
    <t xml:space="preserve">1500 IU vial</t>
  </si>
  <si>
    <t xml:space="preserve">Added to peribulbar block</t>
  </si>
  <si>
    <t xml:space="preserve">Improves spread of anaesthetic</t>
  </si>
  <si>
    <t xml:space="preserve">Allergy</t>
  </si>
  <si>
    <t xml:space="preserve">Hynidase</t>
  </si>
  <si>
    <t xml:space="preserve">MED-062</t>
  </si>
  <si>
    <t xml:space="preserve">Carboxymethylcellulose</t>
  </si>
  <si>
    <t xml:space="preserve">Lubricant / artificial tears</t>
  </si>
  <si>
    <t xml:space="preserve">1 drop QID–6 times/day; gel at bedtime</t>
  </si>
  <si>
    <t xml:space="preserve">Dry eye, CVS, post-op, conjunctivitis support</t>
  </si>
  <si>
    <t xml:space="preserve">Minimal; use preservative-free if &gt; 4–6 times/day</t>
  </si>
  <si>
    <t xml:space="preserve">Refresh Tears, Refresh Liquigel</t>
  </si>
  <si>
    <t xml:space="preserve">MED-063</t>
  </si>
  <si>
    <t xml:space="preserve">Hydroxypropyl methylcellulose</t>
  </si>
  <si>
    <t xml:space="preserve">Minimal</t>
  </si>
  <si>
    <t xml:space="preserve">GenTeal, Moisol</t>
  </si>
  <si>
    <t xml:space="preserve">MED-064</t>
  </si>
  <si>
    <t xml:space="preserve">Sodium hyaluronate</t>
  </si>
  <si>
    <t xml:space="preserve">0.1% / 0.18% / 0.3%</t>
  </si>
  <si>
    <t xml:space="preserve">1 drop QID–6 times/day</t>
  </si>
  <si>
    <t xml:space="preserve">Moderate–severe dry eye, post-LASIK</t>
  </si>
  <si>
    <t xml:space="preserve">Hylo-Comod</t>
  </si>
  <si>
    <t xml:space="preserve">MED-065</t>
  </si>
  <si>
    <t xml:space="preserve">Polyethylene glycol + Propylene glycol</t>
  </si>
  <si>
    <t xml:space="preserve">0.4% + 0.3%</t>
  </si>
  <si>
    <t xml:space="preserve">Systane Ultra</t>
  </si>
  <si>
    <t xml:space="preserve">MED-066</t>
  </si>
  <si>
    <t xml:space="preserve">Carbomer</t>
  </si>
  <si>
    <t xml:space="preserve">Lubricant gel</t>
  </si>
  <si>
    <t xml:space="preserve">0.2%</t>
  </si>
  <si>
    <t xml:space="preserve">1 drop TID and HS</t>
  </si>
  <si>
    <t xml:space="preserve">Dry eye, exposure keratopathy</t>
  </si>
  <si>
    <t xml:space="preserve">Temporary blur</t>
  </si>
  <si>
    <t xml:space="preserve">Viscotears</t>
  </si>
  <si>
    <t xml:space="preserve">MED-067</t>
  </si>
  <si>
    <t xml:space="preserve">Paraffin / petrolatum ointment</t>
  </si>
  <si>
    <t xml:space="preserve">Lubricant ointment</t>
  </si>
  <si>
    <t xml:space="preserve">Apply at bedtime (HS)</t>
  </si>
  <si>
    <t xml:space="preserve">Severe dry eye, lagophthalmos, exposure</t>
  </si>
  <si>
    <t xml:space="preserve">Blur</t>
  </si>
  <si>
    <t xml:space="preserve">Lacri-Lube</t>
  </si>
  <si>
    <t xml:space="preserve">MED-068</t>
  </si>
  <si>
    <t xml:space="preserve">Cyclosporine A</t>
  </si>
  <si>
    <t xml:space="preserve">0.05% / 0.1%</t>
  </si>
  <si>
    <t xml:space="preserve">1 drop BD, long-term (≥ 3 months for effect)</t>
  </si>
  <si>
    <t xml:space="preserve">Moderate–severe dry eye, VKC, AKC</t>
  </si>
  <si>
    <t xml:space="preserve">Burning on instillation</t>
  </si>
  <si>
    <t xml:space="preserve">Restasis, Cyclomune, Ikervis</t>
  </si>
  <si>
    <t xml:space="preserve">MED-069</t>
  </si>
  <si>
    <t xml:space="preserve">Tacrolimus</t>
  </si>
  <si>
    <t xml:space="preserve">Eye ointment / drops</t>
  </si>
  <si>
    <t xml:space="preserve">0.03% / 0.1%</t>
  </si>
  <si>
    <t xml:space="preserve">Apply BD</t>
  </si>
  <si>
    <t xml:space="preserve">Severe VKC / AKC, steroid-sparing</t>
  </si>
  <si>
    <t xml:space="preserve">Burning; infection risk</t>
  </si>
  <si>
    <t xml:space="preserve">MED-070</t>
  </si>
  <si>
    <t xml:space="preserve">Lifitegrast</t>
  </si>
  <si>
    <t xml:space="preserve">LFA-1 antagonist</t>
  </si>
  <si>
    <t xml:space="preserve">Altered taste, irritation</t>
  </si>
  <si>
    <t xml:space="preserve">Xiidra</t>
  </si>
  <si>
    <t xml:space="preserve">MED-071</t>
  </si>
  <si>
    <t xml:space="preserve">Olopatadine</t>
  </si>
  <si>
    <t xml:space="preserve">Antihistamine + mast-cell stabiliser</t>
  </si>
  <si>
    <t xml:space="preserve">0.1% / 0.2%</t>
  </si>
  <si>
    <t xml:space="preserve">0.1%: 1 drop BD; 0.2%: once daily</t>
  </si>
  <si>
    <t xml:space="preserve">Allergic conjunctivitis, VKC</t>
  </si>
  <si>
    <t xml:space="preserve">Mild stinging</t>
  </si>
  <si>
    <t xml:space="preserve">Pataday, Olopat</t>
  </si>
  <si>
    <t xml:space="preserve">MED-072</t>
  </si>
  <si>
    <t xml:space="preserve">Ketotifen</t>
  </si>
  <si>
    <t xml:space="preserve">0.025%</t>
  </si>
  <si>
    <t xml:space="preserve">Zaditor</t>
  </si>
  <si>
    <t xml:space="preserve">MED-073</t>
  </si>
  <si>
    <t xml:space="preserve">Epinastine</t>
  </si>
  <si>
    <t xml:space="preserve">Burning</t>
  </si>
  <si>
    <t xml:space="preserve">Elestat</t>
  </si>
  <si>
    <t xml:space="preserve">MED-074</t>
  </si>
  <si>
    <t xml:space="preserve">Bepotastine</t>
  </si>
  <si>
    <t xml:space="preserve">1.5%</t>
  </si>
  <si>
    <t xml:space="preserve">Taste disturbance</t>
  </si>
  <si>
    <t xml:space="preserve">Bepreve</t>
  </si>
  <si>
    <t xml:space="preserve">MED-075</t>
  </si>
  <si>
    <t xml:space="preserve">Alcaftadine</t>
  </si>
  <si>
    <t xml:space="preserve">0.25%</t>
  </si>
  <si>
    <t xml:space="preserve">Mild irritation</t>
  </si>
  <si>
    <t xml:space="preserve">Lastacaft</t>
  </si>
  <si>
    <t xml:space="preserve">MED-076</t>
  </si>
  <si>
    <t xml:space="preserve">Azelastine</t>
  </si>
  <si>
    <t xml:space="preserve">Bitter taste</t>
  </si>
  <si>
    <t xml:space="preserve">Optivar</t>
  </si>
  <si>
    <t xml:space="preserve">MED-077</t>
  </si>
  <si>
    <t xml:space="preserve">Sodium cromoglycate</t>
  </si>
  <si>
    <t xml:space="preserve">Mast-cell stabiliser</t>
  </si>
  <si>
    <t xml:space="preserve">2% / 4%</t>
  </si>
  <si>
    <t xml:space="preserve">1 drop QID (preventive, takes 1–2 weeks)</t>
  </si>
  <si>
    <t xml:space="preserve">VKC, seasonal allergy prophylaxis</t>
  </si>
  <si>
    <t xml:space="preserve">Opticrom</t>
  </si>
  <si>
    <t xml:space="preserve">MED-078</t>
  </si>
  <si>
    <t xml:space="preserve">Naphazoline + Pheniramine</t>
  </si>
  <si>
    <t xml:space="preserve">Decongestant + antihistamine</t>
  </si>
  <si>
    <t xml:space="preserve">0.025% + 0.3%</t>
  </si>
  <si>
    <t xml:space="preserve">1 drop up to QID, short-term only</t>
  </si>
  <si>
    <t xml:space="preserve">Mild allergic redness / itching</t>
  </si>
  <si>
    <t xml:space="preserve">Rebound redness; avoid in narrow angles</t>
  </si>
  <si>
    <t xml:space="preserve">Naphcon-A</t>
  </si>
  <si>
    <t xml:space="preserve">MED-079</t>
  </si>
  <si>
    <t xml:space="preserve">Tobramycin + Dexamethasone</t>
  </si>
  <si>
    <t xml:space="preserve">Antibiotic + steroid combination</t>
  </si>
  <si>
    <t xml:space="preserve">0.3% + 0.1%</t>
  </si>
  <si>
    <t xml:space="preserve">Post-op, blepharitis, infected inflammatory conditions</t>
  </si>
  <si>
    <t xml:space="preserve">Steroid side effects; avoid in viral / fungal keratitis</t>
  </si>
  <si>
    <t xml:space="preserve">Tobradex</t>
  </si>
  <si>
    <t xml:space="preserve">MED-080</t>
  </si>
  <si>
    <t xml:space="preserve">Moxifloxacin + Dexamethasone</t>
  </si>
  <si>
    <t xml:space="preserve">0.5% + 0.1%</t>
  </si>
  <si>
    <t xml:space="preserve">1 drop 4–6 times/day post-op, taper over 4 weeks</t>
  </si>
  <si>
    <t xml:space="preserve">Post-cataract / post-surgery regimen</t>
  </si>
  <si>
    <t xml:space="preserve">Steroid side effects</t>
  </si>
  <si>
    <t xml:space="preserve">Vigadexa</t>
  </si>
  <si>
    <t xml:space="preserve">MED-081</t>
  </si>
  <si>
    <t xml:space="preserve">Moxifloxacin + Loteprednol / Difluprednate</t>
  </si>
  <si>
    <t xml:space="preserve">Various</t>
  </si>
  <si>
    <t xml:space="preserve">As per post-op taper chart</t>
  </si>
  <si>
    <t xml:space="preserve">Post-operative inflammation + prophylaxis</t>
  </si>
  <si>
    <t xml:space="preserve">MED-082</t>
  </si>
  <si>
    <t xml:space="preserve">Povidone-iodine</t>
  </si>
  <si>
    <t xml:space="preserve">Antiseptic</t>
  </si>
  <si>
    <t xml:space="preserve">Eye drops / solution</t>
  </si>
  <si>
    <t xml:space="preserve">1–2 drops before surgery / injection; 10% for skin</t>
  </si>
  <si>
    <t xml:space="preserve">Pre-op antisepsis, pre-intravitreal injection</t>
  </si>
  <si>
    <t xml:space="preserve">Betadine 5%</t>
  </si>
  <si>
    <t xml:space="preserve">MED-083</t>
  </si>
  <si>
    <t xml:space="preserve">Sodium chloride (hypertonic)</t>
  </si>
  <si>
    <t xml:space="preserve">Hyperosmotic</t>
  </si>
  <si>
    <t xml:space="preserve">Drops QID; ointment HS</t>
  </si>
  <si>
    <t xml:space="preserve">Corneal oedema, bullous keratopathy, Fuchs</t>
  </si>
  <si>
    <t xml:space="preserve">Muro 128</t>
  </si>
  <si>
    <t xml:space="preserve">MED-084</t>
  </si>
  <si>
    <t xml:space="preserve">Fluorescein sodium</t>
  </si>
  <si>
    <t xml:space="preserve">Diagnostic dye</t>
  </si>
  <si>
    <t xml:space="preserve">Strips / IV injection</t>
  </si>
  <si>
    <t xml:space="preserve">1 mg strip; 10% / 20% IV</t>
  </si>
  <si>
    <t xml:space="preserve">Strip for staining / GAT; IV for FFA</t>
  </si>
  <si>
    <t xml:space="preserve">Staining, tonometry, angiography</t>
  </si>
  <si>
    <t xml:space="preserve">IV: nausea, yellow skin / urine, rare anaphylaxis</t>
  </si>
  <si>
    <t xml:space="preserve">Fluorescein strips</t>
  </si>
  <si>
    <t xml:space="preserve">MED-085</t>
  </si>
  <si>
    <t xml:space="preserve">Trypan blue</t>
  </si>
  <si>
    <t xml:space="preserve">Surgical capsular dye</t>
  </si>
  <si>
    <t xml:space="preserve">Intracameral solution</t>
  </si>
  <si>
    <t xml:space="preserve">0.06%</t>
  </si>
  <si>
    <t xml:space="preserve">Intra-operative</t>
  </si>
  <si>
    <t xml:space="preserve">Staining anterior capsule in mature cataract</t>
  </si>
  <si>
    <t xml:space="preserve">VisionBlue</t>
  </si>
  <si>
    <t xml:space="preserve">MED-086</t>
  </si>
  <si>
    <t xml:space="preserve">Viscoelastic (OVD)</t>
  </si>
  <si>
    <t xml:space="preserve">Surgical device</t>
  </si>
  <si>
    <t xml:space="preserve">Intracameral</t>
  </si>
  <si>
    <t xml:space="preserve">HPMC 2%, sodium hyaluronate</t>
  </si>
  <si>
    <t xml:space="preserve">Maintain AC, protect endothelium</t>
  </si>
  <si>
    <t xml:space="preserve">Post-op IOP rise if not removed</t>
  </si>
  <si>
    <t xml:space="preserve">Healon, Viscoat</t>
  </si>
  <si>
    <t xml:space="preserve">MED-087</t>
  </si>
  <si>
    <t xml:space="preserve">Intracameral moxifloxacin</t>
  </si>
  <si>
    <t xml:space="preserve">Antibiotic (intra-operative)</t>
  </si>
  <si>
    <t xml:space="preserve">Intracameral injection</t>
  </si>
  <si>
    <t xml:space="preserve">0.1% (0.5 mg/0.1 ml)</t>
  </si>
  <si>
    <t xml:space="preserve">At end of cataract surgery</t>
  </si>
  <si>
    <t xml:space="preserve">Endophthalmitis prophylaxis</t>
  </si>
  <si>
    <t xml:space="preserve">MED-088</t>
  </si>
  <si>
    <t xml:space="preserve">Intravitreal Vancomycin + Ceftazidime</t>
  </si>
  <si>
    <t xml:space="preserve">Antibiotics (intravitreal)</t>
  </si>
  <si>
    <t xml:space="preserve">Intravitreal injection</t>
  </si>
  <si>
    <t xml:space="preserve">1 mg/0.1 ml + 2.25 mg/0.1 ml</t>
  </si>
  <si>
    <t xml:space="preserve">Single injection after vitreous tap, repeat if needed</t>
  </si>
  <si>
    <t xml:space="preserve">Bacterial endophthalmitis</t>
  </si>
  <si>
    <t xml:space="preserve">Procedure risks</t>
  </si>
  <si>
    <t xml:space="preserve">MED-089</t>
  </si>
  <si>
    <t xml:space="preserve">Ranibizumab</t>
  </si>
  <si>
    <t xml:space="preserve">0.5 mg / 0.05 ml</t>
  </si>
  <si>
    <t xml:space="preserve">Monthly × 3 loading, then PRN / treat-and-extend</t>
  </si>
  <si>
    <t xml:space="preserve">Wet AMD, DME, RVO macular oedema, myopic CNV, ROP</t>
  </si>
  <si>
    <t xml:space="preserve">Endophthalmitis, IOP rise, RD (rare)</t>
  </si>
  <si>
    <t xml:space="preserve">Lucentis, Accentrix, Razumab</t>
  </si>
  <si>
    <t xml:space="preserve">MED-090</t>
  </si>
  <si>
    <t xml:space="preserve">Aflibercept</t>
  </si>
  <si>
    <t xml:space="preserve">2 mg / 0.05 ml (8 mg high-dose)</t>
  </si>
  <si>
    <t xml:space="preserve">Monthly × 3–5, then every 8 weeks</t>
  </si>
  <si>
    <t xml:space="preserve">Wet AMD, DME, RVO</t>
  </si>
  <si>
    <t xml:space="preserve">As above</t>
  </si>
  <si>
    <t xml:space="preserve">Eylea</t>
  </si>
  <si>
    <t xml:space="preserve">MED-091</t>
  </si>
  <si>
    <t xml:space="preserve">Bevacizumab</t>
  </si>
  <si>
    <t xml:space="preserve">Anti-VEGF (off-label)</t>
  </si>
  <si>
    <t xml:space="preserve">1.25 mg / 0.05 ml</t>
  </si>
  <si>
    <t xml:space="preserve">Monthly / PRN</t>
  </si>
  <si>
    <t xml:space="preserve">DME, AMD, NVG, PDR (economical option)</t>
  </si>
  <si>
    <t xml:space="preserve">As above; off-label use</t>
  </si>
  <si>
    <t xml:space="preserve">Avastin</t>
  </si>
  <si>
    <t xml:space="preserve">MED-092</t>
  </si>
  <si>
    <t xml:space="preserve">Brolucizumab</t>
  </si>
  <si>
    <t xml:space="preserve">6 mg / 0.05 ml</t>
  </si>
  <si>
    <t xml:space="preserve">Monthly × 3, then every 8–12 weeks</t>
  </si>
  <si>
    <t xml:space="preserve">Wet AMD, DME</t>
  </si>
  <si>
    <t xml:space="preserve">Intraocular inflammation / vasculitis risk</t>
  </si>
  <si>
    <t xml:space="preserve">Beovu, Pagenax</t>
  </si>
  <si>
    <t xml:space="preserve">MED-093</t>
  </si>
  <si>
    <t xml:space="preserve">Faricimab</t>
  </si>
  <si>
    <t xml:space="preserve">Anti-VEGF / Ang-2 bispecific</t>
  </si>
  <si>
    <t xml:space="preserve">Loading then up to every 16 weeks</t>
  </si>
  <si>
    <t xml:space="preserve">Vabysmo</t>
  </si>
  <si>
    <t xml:space="preserve">MED-094</t>
  </si>
  <si>
    <t xml:space="preserve">Triamcinolone acetonide</t>
  </si>
  <si>
    <t xml:space="preserve">Corticosteroid (depot)</t>
  </si>
  <si>
    <t xml:space="preserve">Intravitreal / posterior subtenon injection</t>
  </si>
  <si>
    <t xml:space="preserve">4 mg / 0.1 ml; 40 mg/ml</t>
  </si>
  <si>
    <t xml:space="preserve">Single injection</t>
  </si>
  <si>
    <t xml:space="preserve">DME, CME, uveitis, vitrectomy staining</t>
  </si>
  <si>
    <t xml:space="preserve">IOP rise, cataract</t>
  </si>
  <si>
    <t xml:space="preserve">Aurocort, Kenacort</t>
  </si>
  <si>
    <t xml:space="preserve">MED-095</t>
  </si>
  <si>
    <t xml:space="preserve">Dexamethasone intravitreal implant</t>
  </si>
  <si>
    <t xml:space="preserve">Corticosteroid (sustained-release)</t>
  </si>
  <si>
    <t xml:space="preserve">Intravitreal implant</t>
  </si>
  <si>
    <t xml:space="preserve">0.7 mg</t>
  </si>
  <si>
    <t xml:space="preserve">Every 3–6 months</t>
  </si>
  <si>
    <t xml:space="preserve">DME, RVO macular oedema, posterior uveitis</t>
  </si>
  <si>
    <t xml:space="preserve">Ozurdex</t>
  </si>
  <si>
    <t xml:space="preserve">MED-096</t>
  </si>
  <si>
    <t xml:space="preserve">Prednisolone (oral)</t>
  </si>
  <si>
    <t xml:space="preserve">Systemic corticosteroid</t>
  </si>
  <si>
    <t xml:space="preserve">5 / 10 / 20 / 40 mg</t>
  </si>
  <si>
    <t xml:space="preserve">1 mg/kg/day morning after food, slow taper; with antacid</t>
  </si>
  <si>
    <t xml:space="preserve">Uveitis, scleritis, optic neuritis (after IV), TED, VKH</t>
  </si>
  <si>
    <t xml:space="preserve">Sugar, BP, gastritis, bone loss, mood</t>
  </si>
  <si>
    <t xml:space="preserve">Wysolone, Omnacortil</t>
  </si>
  <si>
    <t xml:space="preserve">MED-097</t>
  </si>
  <si>
    <t xml:space="preserve">Methylprednisolone (IV)</t>
  </si>
  <si>
    <t xml:space="preserve">Systemic corticosteroid (pulse)</t>
  </si>
  <si>
    <t xml:space="preserve">1 g / 500 mg</t>
  </si>
  <si>
    <t xml:space="preserve">1 g/day × 3 days, then oral taper</t>
  </si>
  <si>
    <t xml:space="preserve">Optic neuritis, severe TED, VKH, GCA</t>
  </si>
  <si>
    <t xml:space="preserve">Monitor sugar, BP</t>
  </si>
  <si>
    <t xml:space="preserve">Solu-Medrol</t>
  </si>
  <si>
    <t xml:space="preserve">MED-098</t>
  </si>
  <si>
    <t xml:space="preserve">Doxycycline</t>
  </si>
  <si>
    <t xml:space="preserve">Antibiotic – tetracycline (anti-inflammatory dose)</t>
  </si>
  <si>
    <t xml:space="preserve">Capsules</t>
  </si>
  <si>
    <t xml:space="preserve">100 mg (or 40 mg MR)</t>
  </si>
  <si>
    <t xml:space="preserve">100 mg OD–BD × 4–12 weeks</t>
  </si>
  <si>
    <t xml:space="preserve">MGD, posterior blepharitis, ocular rosacea, recurrent erosion</t>
  </si>
  <si>
    <t xml:space="preserve">Photosensitivity, GI upset; avoid in pregnancy / children &lt; 8 yrs</t>
  </si>
  <si>
    <t xml:space="preserve">Doxy-1</t>
  </si>
  <si>
    <t xml:space="preserve">MED-099</t>
  </si>
  <si>
    <t xml:space="preserve">Azithromycin (oral)</t>
  </si>
  <si>
    <t xml:space="preserve">500 mg</t>
  </si>
  <si>
    <t xml:space="preserve">500 mg OD × 3 days (pulse) or 1 g single dose</t>
  </si>
  <si>
    <t xml:space="preserve">MGD, trachoma, chlamydial conjunctivitis</t>
  </si>
  <si>
    <t xml:space="preserve">GI upset, QT prolongation</t>
  </si>
  <si>
    <t xml:space="preserve">Azithral, Azee</t>
  </si>
  <si>
    <t xml:space="preserve">MED-100</t>
  </si>
  <si>
    <t xml:space="preserve">Amoxicillin + Clavulanate</t>
  </si>
  <si>
    <t xml:space="preserve">Antibiotic – penicillin combination</t>
  </si>
  <si>
    <t xml:space="preserve">Tablets / IV</t>
  </si>
  <si>
    <t xml:space="preserve">625 mg; 1.2 g IV</t>
  </si>
  <si>
    <t xml:space="preserve">625 mg TID × 7 days</t>
  </si>
  <si>
    <t xml:space="preserve">Preseptal cellulitis, dacryocystitis</t>
  </si>
  <si>
    <t xml:space="preserve">Allergy, diarrhoea</t>
  </si>
  <si>
    <t xml:space="preserve">Augmentin</t>
  </si>
  <si>
    <t xml:space="preserve">MED-101</t>
  </si>
  <si>
    <t xml:space="preserve">Ceftriaxone</t>
  </si>
  <si>
    <t xml:space="preserve">Antibiotic – cephalosporin</t>
  </si>
  <si>
    <t xml:space="preserve">IV injection</t>
  </si>
  <si>
    <t xml:space="preserve">1–2 g</t>
  </si>
  <si>
    <t xml:space="preserve">1–2 g IV BD</t>
  </si>
  <si>
    <t xml:space="preserve">Orbital cellulitis, gonococcal conjunctivitis</t>
  </si>
  <si>
    <t xml:space="preserve">Monocef</t>
  </si>
  <si>
    <t xml:space="preserve">MED-102</t>
  </si>
  <si>
    <t xml:space="preserve">Paracetamol / Ibuprofen / Diclofenac</t>
  </si>
  <si>
    <t xml:space="preserve">Analgesic / NSAID</t>
  </si>
  <si>
    <t xml:space="preserve">650 mg / 400 mg / 50 mg</t>
  </si>
  <si>
    <t xml:space="preserve">SOS or TID after food</t>
  </si>
  <si>
    <t xml:space="preserve">Post-op pain, trauma, scleritis (NSAID)</t>
  </si>
  <si>
    <t xml:space="preserve">Gastritis (NSAIDs)</t>
  </si>
  <si>
    <t xml:space="preserve">Dolo-650, Brufen, Voveran</t>
  </si>
  <si>
    <t xml:space="preserve">MED-103</t>
  </si>
  <si>
    <t xml:space="preserve">Pantoprazole</t>
  </si>
  <si>
    <t xml:space="preserve">Proton pump inhibitor</t>
  </si>
  <si>
    <t xml:space="preserve">40 mg</t>
  </si>
  <si>
    <t xml:space="preserve">40 mg OD before breakfast</t>
  </si>
  <si>
    <t xml:space="preserve">Gastric protection with oral steroids / NSAIDs</t>
  </si>
  <si>
    <t xml:space="preserve">Pan-40</t>
  </si>
  <si>
    <t xml:space="preserve">MED-104</t>
  </si>
  <si>
    <t xml:space="preserve">Vitamin A</t>
  </si>
  <si>
    <t xml:space="preserve">Vitamin</t>
  </si>
  <si>
    <t xml:space="preserve">Oral / IM</t>
  </si>
  <si>
    <t xml:space="preserve">2 lakh IU (1 lakh IU &lt; 1 yr)</t>
  </si>
  <si>
    <t xml:space="preserve">Day 1, day 2 and after 2 weeks for xerophthalmia</t>
  </si>
  <si>
    <t xml:space="preserve">Xerophthalmia, Bitot's spots, night blindness</t>
  </si>
  <si>
    <t xml:space="preserve">Toxicity with overdose</t>
  </si>
  <si>
    <t xml:space="preserve">MED-105</t>
  </si>
  <si>
    <t xml:space="preserve">Omega-3 fatty acids</t>
  </si>
  <si>
    <t xml:space="preserve">Supplement</t>
  </si>
  <si>
    <t xml:space="preserve">1000 mg</t>
  </si>
  <si>
    <t xml:space="preserve">1–2 capsules daily × 3 months</t>
  </si>
  <si>
    <t xml:space="preserve">Fishy aftertaste</t>
  </si>
  <si>
    <t xml:space="preserve">MED-106</t>
  </si>
  <si>
    <t xml:space="preserve">AREDS2 formula (lutein, zeaxanthin, vit C, vit E, zinc, copper)</t>
  </si>
  <si>
    <t xml:space="preserve">Antioxidant supplement</t>
  </si>
  <si>
    <t xml:space="preserve">As per AREDS2</t>
  </si>
  <si>
    <t xml:space="preserve">1 tablet daily</t>
  </si>
  <si>
    <t xml:space="preserve">Intermediate dry AMD</t>
  </si>
  <si>
    <t xml:space="preserve">Zinc GI upset</t>
  </si>
  <si>
    <t xml:space="preserve">Ocuvite</t>
  </si>
  <si>
    <t xml:space="preserve">MED-107</t>
  </si>
  <si>
    <t xml:space="preserve">Selenium</t>
  </si>
  <si>
    <t xml:space="preserve">100 µg BD</t>
  </si>
  <si>
    <t xml:space="preserve">100 µg BD × 6 months</t>
  </si>
  <si>
    <t xml:space="preserve">Mild active thyroid eye disease</t>
  </si>
  <si>
    <t xml:space="preserve">MED-108</t>
  </si>
  <si>
    <t xml:space="preserve">Pyridostigmine</t>
  </si>
  <si>
    <t xml:space="preserve">Anticholinesterase</t>
  </si>
  <si>
    <t xml:space="preserve">60 mg</t>
  </si>
  <si>
    <t xml:space="preserve">30–60 mg TID–QID</t>
  </si>
  <si>
    <t xml:space="preserve">Abdominal cramps, salivation</t>
  </si>
  <si>
    <t xml:space="preserve">Mestinon, Distinon</t>
  </si>
  <si>
    <t xml:space="preserve">MED-109</t>
  </si>
  <si>
    <t xml:space="preserve">Botulinum toxin A</t>
  </si>
  <si>
    <t xml:space="preserve">Neurotoxin</t>
  </si>
  <si>
    <t xml:space="preserve">Units as per indication</t>
  </si>
  <si>
    <t xml:space="preserve">Injection every 3–4 months</t>
  </si>
  <si>
    <t xml:space="preserve">Blepharospasm, hemifacial spasm, some squints</t>
  </si>
  <si>
    <t xml:space="preserve">Ptosis, diplopia (temporary)</t>
  </si>
  <si>
    <t xml:space="preserve">Botox</t>
  </si>
  <si>
    <t xml:space="preserve">MED-110</t>
  </si>
  <si>
    <t xml:space="preserve">Mitomycin C</t>
  </si>
  <si>
    <t xml:space="preserve">Antimetabolite</t>
  </si>
  <si>
    <t xml:space="preserve">Intra-operative / topical</t>
  </si>
  <si>
    <t xml:space="preserve">0.02% (0.2 mg/ml)</t>
  </si>
  <si>
    <t xml:space="preserve">Applied intra-operatively for 1–3 min</t>
  </si>
  <si>
    <t xml:space="preserve">Trabeculectomy, pterygium surgery, OSSN</t>
  </si>
  <si>
    <t xml:space="preserve">Scleral thinning, bleb leak</t>
  </si>
  <si>
    <t xml:space="preserve">MED-111</t>
  </si>
  <si>
    <t xml:space="preserve">5-Fluorouracil</t>
  </si>
  <si>
    <t xml:space="preserve">Subconjunctival injection / topical</t>
  </si>
  <si>
    <t xml:space="preserve">5 mg / 0.1 ml; 1% drops</t>
  </si>
  <si>
    <t xml:space="preserve">Post-trabeculectomy bleb needling; OSSN drops in cycles</t>
  </si>
  <si>
    <t xml:space="preserve">Failing bleb, OSSN</t>
  </si>
  <si>
    <t xml:space="preserve">MED-112</t>
  </si>
  <si>
    <t xml:space="preserve">Riboflavin</t>
  </si>
  <si>
    <t xml:space="preserve">Photosensitiser</t>
  </si>
  <si>
    <t xml:space="preserve">Every 2–5 min during C3R</t>
  </si>
  <si>
    <t xml:space="preserve">Corneal collagen cross-linking for keratoconus</t>
  </si>
  <si>
    <t xml:space="preserve">MED-113</t>
  </si>
  <si>
    <t xml:space="preserve">Cenegermin</t>
  </si>
  <si>
    <t xml:space="preserve">Nerve growth factor</t>
  </si>
  <si>
    <t xml:space="preserve">20 µg/ml</t>
  </si>
  <si>
    <t xml:space="preserve">1 drop 6 times/day × 8 weeks</t>
  </si>
  <si>
    <t xml:space="preserve">Pain</t>
  </si>
  <si>
    <t xml:space="preserve">Oxervate</t>
  </si>
  <si>
    <t xml:space="preserve">MED-114</t>
  </si>
  <si>
    <t xml:space="preserve">Tea-tree oil lid wipes / scrubs</t>
  </si>
  <si>
    <t xml:space="preserve">Lid hygiene agent</t>
  </si>
  <si>
    <t xml:space="preserve">Wipes / foam</t>
  </si>
  <si>
    <t xml:space="preserve">Clean lid margins BD</t>
  </si>
  <si>
    <t xml:space="preserve">Demodex blepharitis, blepharitis</t>
  </si>
  <si>
    <t xml:space="preserve">Irritation if contacts eye</t>
  </si>
  <si>
    <t xml:space="preserve">MED-115</t>
  </si>
  <si>
    <t xml:space="preserve">Intraocular gases (SF6 / C3F8)</t>
  </si>
  <si>
    <t xml:space="preserve">Vitreous tamponade</t>
  </si>
  <si>
    <t xml:space="preserve">Intravitreal</t>
  </si>
  <si>
    <t xml:space="preserve">SF6 20%; C3F8 14%</t>
  </si>
  <si>
    <t xml:space="preserve">Intra-operative / pneumatic retinopexy</t>
  </si>
  <si>
    <t xml:space="preserve">RD, macular hole</t>
  </si>
  <si>
    <t xml:space="preserve">NO air travel / high altitude / N2O anaesthesia until gas absorbs</t>
  </si>
  <si>
    <t xml:space="preserve">MED-116</t>
  </si>
  <si>
    <t xml:space="preserve">Silicone oil</t>
  </si>
  <si>
    <t xml:space="preserve">1000 / 5000 cSt</t>
  </si>
  <si>
    <t xml:space="preserve">Intra-operative; removal after 3–6 months</t>
  </si>
  <si>
    <t xml:space="preserve">Complex RD, PVR</t>
  </si>
  <si>
    <t xml:space="preserve">Raised IOP, cataract, emulsification</t>
  </si>
  <si>
    <t xml:space="preserve">Procedure / Surgery</t>
  </si>
  <si>
    <t xml:space="preserve">Description</t>
  </si>
  <si>
    <t xml:space="preserve">Indication</t>
  </si>
  <si>
    <t xml:space="preserve">Anaesthesia / Setting</t>
  </si>
  <si>
    <t xml:space="preserve">PRC-001</t>
  </si>
  <si>
    <t xml:space="preserve">Phacoemulsification with IOL</t>
  </si>
  <si>
    <t xml:space="preserve">Phaco, PE + PCIOL</t>
  </si>
  <si>
    <t xml:space="preserve">Cataract surgery</t>
  </si>
  <si>
    <t xml:space="preserve">Ultrasound breaks lens through 2.2–2.8 mm incision; foldable IOL in bag; usually stitchless</t>
  </si>
  <si>
    <t xml:space="preserve">Cataract</t>
  </si>
  <si>
    <t xml:space="preserve">Topical / peribulbar; day care</t>
  </si>
  <si>
    <t xml:space="preserve">PRC-002</t>
  </si>
  <si>
    <t xml:space="preserve">Manual small-incision cataract surgery</t>
  </si>
  <si>
    <t xml:space="preserve">MSICS, SICS</t>
  </si>
  <si>
    <t xml:space="preserve">Sutureless scleral tunnel, nucleus delivered whole; rigid PMMA or foldable IOL</t>
  </si>
  <si>
    <t xml:space="preserve">Cataract (especially mature / camps)</t>
  </si>
  <si>
    <t xml:space="preserve">Peribulbar; day care</t>
  </si>
  <si>
    <t xml:space="preserve">PRC-003</t>
  </si>
  <si>
    <t xml:space="preserve">Extracapsular cataract extraction</t>
  </si>
  <si>
    <t xml:space="preserve">ECCE</t>
  </si>
  <si>
    <t xml:space="preserve">Large incision with sutures; nucleus expressed</t>
  </si>
  <si>
    <t xml:space="preserve">Cataract (older technique)</t>
  </si>
  <si>
    <t xml:space="preserve">Peribulbar</t>
  </si>
  <si>
    <t xml:space="preserve">PRC-004</t>
  </si>
  <si>
    <t xml:space="preserve">Femtosecond laser-assisted cataract surgery</t>
  </si>
  <si>
    <t xml:space="preserve">FLACS</t>
  </si>
  <si>
    <t xml:space="preserve">Laser performs capsulotomy and lens fragmentation</t>
  </si>
  <si>
    <t xml:space="preserve">Cataract (premium option)</t>
  </si>
  <si>
    <t xml:space="preserve">Topical</t>
  </si>
  <si>
    <t xml:space="preserve">PRC-005</t>
  </si>
  <si>
    <t xml:space="preserve">Monofocal IOL</t>
  </si>
  <si>
    <t xml:space="preserve">IOL type</t>
  </si>
  <si>
    <t xml:space="preserve">Clear vision at one distance (usually distance); reading glasses needed</t>
  </si>
  <si>
    <t xml:space="preserve">Standard cataract surgery</t>
  </si>
  <si>
    <t xml:space="preserve">PRC-006</t>
  </si>
  <si>
    <t xml:space="preserve">Multifocal / Trifocal IOL</t>
  </si>
  <si>
    <t xml:space="preserve">Multiple focal points for distance, intermediate and near</t>
  </si>
  <si>
    <t xml:space="preserve">Spectacle independence</t>
  </si>
  <si>
    <t xml:space="preserve">PRC-007</t>
  </si>
  <si>
    <t xml:space="preserve">Extended depth of focus IOL</t>
  </si>
  <si>
    <t xml:space="preserve">EDOF IOL</t>
  </si>
  <si>
    <t xml:space="preserve">Continuous range from distance to intermediate</t>
  </si>
  <si>
    <t xml:space="preserve">Spectacle independence for computer use</t>
  </si>
  <si>
    <t xml:space="preserve">PRC-008</t>
  </si>
  <si>
    <t xml:space="preserve">Toric IOL</t>
  </si>
  <si>
    <t xml:space="preserve">Corrects corneal astigmatism; aligned to axis</t>
  </si>
  <si>
    <t xml:space="preserve">Cataract with astigmatism &gt; ~1 D</t>
  </si>
  <si>
    <t xml:space="preserve">PRC-009</t>
  </si>
  <si>
    <t xml:space="preserve">Hydrophobic / Hydrophilic acrylic IOL</t>
  </si>
  <si>
    <t xml:space="preserve">IOL material</t>
  </si>
  <si>
    <t xml:space="preserve">Foldable IOL materials; hydrophobic has lower PCO rate</t>
  </si>
  <si>
    <t xml:space="preserve">PRC-010</t>
  </si>
  <si>
    <t xml:space="preserve">Rigid PMMA IOL</t>
  </si>
  <si>
    <t xml:space="preserve">PMMA</t>
  </si>
  <si>
    <t xml:space="preserve">Non-foldable economical IOL</t>
  </si>
  <si>
    <t xml:space="preserve">MSICS</t>
  </si>
  <si>
    <t xml:space="preserve">PRC-011</t>
  </si>
  <si>
    <t xml:space="preserve">Anterior chamber IOL</t>
  </si>
  <si>
    <t xml:space="preserve">ACIOL</t>
  </si>
  <si>
    <t xml:space="preserve">IOL placed in front of iris</t>
  </si>
  <si>
    <t xml:space="preserve">Inadequate capsule support</t>
  </si>
  <si>
    <t xml:space="preserve">PRC-012</t>
  </si>
  <si>
    <t xml:space="preserve">Scleral-fixated / Glued IOL</t>
  </si>
  <si>
    <t xml:space="preserve">SFIOL, glued IOL</t>
  </si>
  <si>
    <t xml:space="preserve">IOL surgery</t>
  </si>
  <si>
    <t xml:space="preserve">IOL fixed to sclera with sutures or fibrin glue</t>
  </si>
  <si>
    <t xml:space="preserve">Aphakia without capsule support</t>
  </si>
  <si>
    <t xml:space="preserve">PRC-013</t>
  </si>
  <si>
    <t xml:space="preserve">Iris-claw IOL</t>
  </si>
  <si>
    <t xml:space="preserve">IOL clipped to iris</t>
  </si>
  <si>
    <t xml:space="preserve">PRC-014</t>
  </si>
  <si>
    <t xml:space="preserve">YAG cap</t>
  </si>
  <si>
    <t xml:space="preserve">Laser</t>
  </si>
  <si>
    <t xml:space="preserve">Laser opening in opacified posterior capsule</t>
  </si>
  <si>
    <t xml:space="preserve">PCO</t>
  </si>
  <si>
    <t xml:space="preserve">Topical; OPD, 5 minutes</t>
  </si>
  <si>
    <t xml:space="preserve">PRC-015</t>
  </si>
  <si>
    <t xml:space="preserve">Nd:YAG laser peripheral iridotomy</t>
  </si>
  <si>
    <t xml:space="preserve">YAG PI, LPI</t>
  </si>
  <si>
    <t xml:space="preserve">Small hole in peripheral iris to open angle</t>
  </si>
  <si>
    <t xml:space="preserve">Angle closure, PACS</t>
  </si>
  <si>
    <t xml:space="preserve">Topical; OPD</t>
  </si>
  <si>
    <t xml:space="preserve">PRC-016</t>
  </si>
  <si>
    <t xml:space="preserve">Selective laser trabeculoplasty</t>
  </si>
  <si>
    <t xml:space="preserve">SLT</t>
  </si>
  <si>
    <t xml:space="preserve">Laser to trabecular meshwork to increase outflow</t>
  </si>
  <si>
    <t xml:space="preserve">PRC-017</t>
  </si>
  <si>
    <t xml:space="preserve">Trabeculectomy</t>
  </si>
  <si>
    <t xml:space="preserve">Trab, filtering surgery</t>
  </si>
  <si>
    <t xml:space="preserve">Glaucoma surgery</t>
  </si>
  <si>
    <t xml:space="preserve">Creates new drainage channel under conjunctiva (bleb), often with MMC</t>
  </si>
  <si>
    <t xml:space="preserve">Uncontrolled glaucoma</t>
  </si>
  <si>
    <t xml:space="preserve">PRC-018</t>
  </si>
  <si>
    <t xml:space="preserve">Glaucoma drainage device</t>
  </si>
  <si>
    <t xml:space="preserve">Ahmed / Aurolab valve, tube surgery</t>
  </si>
  <si>
    <t xml:space="preserve">Tube shunts aqueous to plate under conjunctiva</t>
  </si>
  <si>
    <t xml:space="preserve">Refractory / NVG / failed trab</t>
  </si>
  <si>
    <t xml:space="preserve">PRC-019</t>
  </si>
  <si>
    <t xml:space="preserve">Minimally invasive glaucoma surgery</t>
  </si>
  <si>
    <t xml:space="preserve">MIGS (iStent, Kahook dual blade, GATT)</t>
  </si>
  <si>
    <t xml:space="preserve">Small-incision angle procedures, often combined with phaco</t>
  </si>
  <si>
    <t xml:space="preserve">Mild–moderate glaucoma</t>
  </si>
  <si>
    <t xml:space="preserve">PRC-020</t>
  </si>
  <si>
    <t xml:space="preserve">Cyclophotocoagulation</t>
  </si>
  <si>
    <t xml:space="preserve">CPC, diode / micropulse CPC</t>
  </si>
  <si>
    <t xml:space="preserve">Glaucoma laser</t>
  </si>
  <si>
    <t xml:space="preserve">Laser to ciliary body to reduce aqueous production</t>
  </si>
  <si>
    <t xml:space="preserve">Refractory / painful blind eye</t>
  </si>
  <si>
    <t xml:space="preserve">PRC-021</t>
  </si>
  <si>
    <t xml:space="preserve">Goniotomy / Trabeculotomy</t>
  </si>
  <si>
    <t xml:space="preserve">Paediatric glaucoma surgery</t>
  </si>
  <si>
    <t xml:space="preserve">Opens angle in congenital glaucoma</t>
  </si>
  <si>
    <t xml:space="preserve">General anaesthesia</t>
  </si>
  <si>
    <t xml:space="preserve">PRC-022</t>
  </si>
  <si>
    <t xml:space="preserve">Laser-assisted in situ keratomileusis</t>
  </si>
  <si>
    <t xml:space="preserve">LASIK, Femto-LASIK, Contoura</t>
  </si>
  <si>
    <t xml:space="preserve">Refractive surgery</t>
  </si>
  <si>
    <t xml:space="preserve">Flap created, excimer laser reshapes cornea</t>
  </si>
  <si>
    <t xml:space="preserve">Myopia, hypermetropia, astigmatism</t>
  </si>
  <si>
    <t xml:space="preserve">Topical; day care</t>
  </si>
  <si>
    <t xml:space="preserve">PRC-023</t>
  </si>
  <si>
    <t xml:space="preserve">Photorefractive keratectomy</t>
  </si>
  <si>
    <t xml:space="preserve">PRK, Trans-PRK</t>
  </si>
  <si>
    <t xml:space="preserve">Surface ablation without flap</t>
  </si>
  <si>
    <t xml:space="preserve">Thin cornea, low myopia</t>
  </si>
  <si>
    <t xml:space="preserve">PRC-024</t>
  </si>
  <si>
    <t xml:space="preserve">Small-incision lenticule extraction</t>
  </si>
  <si>
    <t xml:space="preserve">SMILE</t>
  </si>
  <si>
    <t xml:space="preserve">Femtosecond laser lenticule removed via small incision</t>
  </si>
  <si>
    <t xml:space="preserve">Myopia, astigmatism</t>
  </si>
  <si>
    <t xml:space="preserve">PRC-025</t>
  </si>
  <si>
    <t xml:space="preserve">Implantable collamer lens</t>
  </si>
  <si>
    <t xml:space="preserve">ICL, phakic IOL</t>
  </si>
  <si>
    <t xml:space="preserve">Lens placed in front of natural lens</t>
  </si>
  <si>
    <t xml:space="preserve">High myopia, thin cornea</t>
  </si>
  <si>
    <t xml:space="preserve">PRC-026</t>
  </si>
  <si>
    <t xml:space="preserve">Refractive lens exchange</t>
  </si>
  <si>
    <t xml:space="preserve">RLE, clear lens extraction</t>
  </si>
  <si>
    <t xml:space="preserve">Natural lens replaced with IOL</t>
  </si>
  <si>
    <t xml:space="preserve">High hyperopia, presbyopia</t>
  </si>
  <si>
    <t xml:space="preserve">PRC-027</t>
  </si>
  <si>
    <t xml:space="preserve">Corneal collagen cross-linking</t>
  </si>
  <si>
    <t xml:space="preserve">C3R, CXL</t>
  </si>
  <si>
    <t xml:space="preserve">Cornea procedure</t>
  </si>
  <si>
    <t xml:space="preserve">Riboflavin + UV-A light strengthens cornea</t>
  </si>
  <si>
    <t xml:space="preserve">Progressive keratoconus</t>
  </si>
  <si>
    <t xml:space="preserve">PRC-028</t>
  </si>
  <si>
    <t xml:space="preserve">Penetrating keratoplasty</t>
  </si>
  <si>
    <t xml:space="preserve">PK, PKP, full-thickness corneal transplant</t>
  </si>
  <si>
    <t xml:space="preserve">Cornea surgery</t>
  </si>
  <si>
    <t xml:space="preserve">Full-thickness donor cornea transplant</t>
  </si>
  <si>
    <t xml:space="preserve">Corneal scar, perforation, failed graft</t>
  </si>
  <si>
    <t xml:space="preserve">Peribulbar / GA</t>
  </si>
  <si>
    <t xml:space="preserve">PRC-029</t>
  </si>
  <si>
    <t xml:space="preserve">Deep anterior lamellar keratoplasty</t>
  </si>
  <si>
    <t xml:space="preserve">DALK</t>
  </si>
  <si>
    <t xml:space="preserve">Front layers replaced, patient endothelium retained</t>
  </si>
  <si>
    <t xml:space="preserve">Keratoconus, anterior scars</t>
  </si>
  <si>
    <t xml:space="preserve">PRC-030</t>
  </si>
  <si>
    <t xml:space="preserve">Endothelial keratoplasty</t>
  </si>
  <si>
    <t xml:space="preserve">DSEK / DSAEK / DMEK</t>
  </si>
  <si>
    <t xml:space="preserve">Only endothelial layer transplanted</t>
  </si>
  <si>
    <t xml:space="preserve">Fuchs dystrophy, PBK</t>
  </si>
  <si>
    <t xml:space="preserve">PRC-031</t>
  </si>
  <si>
    <t xml:space="preserve">Therapeutic keratoplasty</t>
  </si>
  <si>
    <t xml:space="preserve">TPK</t>
  </si>
  <si>
    <t xml:space="preserve">Graft to remove infected tissue</t>
  </si>
  <si>
    <t xml:space="preserve">Non-healing / perforated ulcer</t>
  </si>
  <si>
    <t xml:space="preserve">PRC-032</t>
  </si>
  <si>
    <t xml:space="preserve">Corneal glue with bandage contact lens</t>
  </si>
  <si>
    <t xml:space="preserve">Cyanoacrylate glue + BCL</t>
  </si>
  <si>
    <t xml:space="preserve">Seals small perforation</t>
  </si>
  <si>
    <t xml:space="preserve">Corneal perforation &lt; 2–3 mm</t>
  </si>
  <si>
    <t xml:space="preserve">PRC-033</t>
  </si>
  <si>
    <t xml:space="preserve">Bandage contact lens</t>
  </si>
  <si>
    <t xml:space="preserve">BCL</t>
  </si>
  <si>
    <t xml:space="preserve">Therapeutic soft lens over cornea</t>
  </si>
  <si>
    <t xml:space="preserve">Epithelial defect, post-PRK, bullous keratopathy</t>
  </si>
  <si>
    <t xml:space="preserve">PRC-034</t>
  </si>
  <si>
    <t xml:space="preserve">Amniotic membrane transplantation</t>
  </si>
  <si>
    <t xml:space="preserve">AMT, AMG</t>
  </si>
  <si>
    <t xml:space="preserve">Ocular surface surgery</t>
  </si>
  <si>
    <t xml:space="preserve">Amniotic membrane as graft / patch</t>
  </si>
  <si>
    <t xml:space="preserve">Chemical burn, non-healing defect, pterygium</t>
  </si>
  <si>
    <t xml:space="preserve">Topical / peribulbar</t>
  </si>
  <si>
    <t xml:space="preserve">PRC-035</t>
  </si>
  <si>
    <t xml:space="preserve">Pterygium excision with conjunctival autograft</t>
  </si>
  <si>
    <t xml:space="preserve">CAG, PECAG</t>
  </si>
  <si>
    <t xml:space="preserve">Pterygium removed, conjunctiva grafted with glue or sutures</t>
  </si>
  <si>
    <t xml:space="preserve">PRC-036</t>
  </si>
  <si>
    <t xml:space="preserve">Corneal foreign body removal</t>
  </si>
  <si>
    <t xml:space="preserve">FB removal</t>
  </si>
  <si>
    <t xml:space="preserve">Minor procedure</t>
  </si>
  <si>
    <t xml:space="preserve">Removal with 26G needle / spud; rust ring burr</t>
  </si>
  <si>
    <t xml:space="preserve">Corneal FB</t>
  </si>
  <si>
    <t xml:space="preserve">PRC-037</t>
  </si>
  <si>
    <t xml:space="preserve">Incision and curettage</t>
  </si>
  <si>
    <t xml:space="preserve">I&amp;C</t>
  </si>
  <si>
    <t xml:space="preserve">Lid procedure</t>
  </si>
  <si>
    <t xml:space="preserve">Chalazion drained through conjunctival incision</t>
  </si>
  <si>
    <t xml:space="preserve">Local; OPD</t>
  </si>
  <si>
    <t xml:space="preserve">PRC-038</t>
  </si>
  <si>
    <t xml:space="preserve">Epilation</t>
  </si>
  <si>
    <t xml:space="preserve">Removal of misdirected lashes</t>
  </si>
  <si>
    <t xml:space="preserve">OPD</t>
  </si>
  <si>
    <t xml:space="preserve">PRC-039</t>
  </si>
  <si>
    <t xml:space="preserve">Ptosis correction</t>
  </si>
  <si>
    <t xml:space="preserve">LPS resection, frontalis sling, Müller's muscle resection</t>
  </si>
  <si>
    <t xml:space="preserve">Oculoplasty</t>
  </si>
  <si>
    <t xml:space="preserve">Lifts drooping lid</t>
  </si>
  <si>
    <t xml:space="preserve">Local / GA</t>
  </si>
  <si>
    <t xml:space="preserve">PRC-040</t>
  </si>
  <si>
    <t xml:space="preserve">Entropion / Ectropion correction</t>
  </si>
  <si>
    <t xml:space="preserve">Lateral tarsal strip, Quickert sutures</t>
  </si>
  <si>
    <t xml:space="preserve">Corrects lid malposition</t>
  </si>
  <si>
    <t xml:space="preserve">Entropion, ectropion</t>
  </si>
  <si>
    <t xml:space="preserve">Local</t>
  </si>
  <si>
    <t xml:space="preserve">PRC-041</t>
  </si>
  <si>
    <t xml:space="preserve">Removal of excess lid skin / fat</t>
  </si>
  <si>
    <t xml:space="preserve">PRC-042</t>
  </si>
  <si>
    <t xml:space="preserve">Tarsorrhaphy</t>
  </si>
  <si>
    <t xml:space="preserve">Partial suturing of lids together</t>
  </si>
  <si>
    <t xml:space="preserve">Exposure / neurotrophic keratopathy</t>
  </si>
  <si>
    <t xml:space="preserve">PRC-043</t>
  </si>
  <si>
    <t xml:space="preserve">Dacryocystorhinostomy</t>
  </si>
  <si>
    <t xml:space="preserve">DCR (external / endoscopic)</t>
  </si>
  <si>
    <t xml:space="preserve">Lacrimal surgery</t>
  </si>
  <si>
    <t xml:space="preserve">New passage from lacrimal sac to nose</t>
  </si>
  <si>
    <t xml:space="preserve">NLDO, chronic dacryocystitis</t>
  </si>
  <si>
    <t xml:space="preserve">PRC-044</t>
  </si>
  <si>
    <t xml:space="preserve">Dacryocystectomy</t>
  </si>
  <si>
    <t xml:space="preserve">DCT</t>
  </si>
  <si>
    <t xml:space="preserve">Removal of lacrimal sac</t>
  </si>
  <si>
    <t xml:space="preserve">Elderly with chronic dacryocystitis</t>
  </si>
  <si>
    <t xml:space="preserve">PRC-045</t>
  </si>
  <si>
    <t xml:space="preserve">Probing and syringing</t>
  </si>
  <si>
    <t xml:space="preserve">Lacrimal procedure</t>
  </si>
  <si>
    <t xml:space="preserve">Probe opens congenital blocked duct</t>
  </si>
  <si>
    <t xml:space="preserve">Short GA</t>
  </si>
  <si>
    <t xml:space="preserve">PRC-046</t>
  </si>
  <si>
    <t xml:space="preserve">Punctal plugs / punctal cautery</t>
  </si>
  <si>
    <t xml:space="preserve">Blocks tear drainage to retain tears</t>
  </si>
  <si>
    <t xml:space="preserve">Severe dry eye</t>
  </si>
  <si>
    <t xml:space="preserve">PRC-047</t>
  </si>
  <si>
    <t xml:space="preserve">Panretinal photocoagulation</t>
  </si>
  <si>
    <t xml:space="preserve">PRP</t>
  </si>
  <si>
    <t xml:space="preserve">Retina laser</t>
  </si>
  <si>
    <t xml:space="preserve">Laser to peripheral retina to regress new vessels</t>
  </si>
  <si>
    <t xml:space="preserve">PDR, ischaemic CRVO, NVG</t>
  </si>
  <si>
    <t xml:space="preserve">Topical; OPD (multiple sittings)</t>
  </si>
  <si>
    <t xml:space="preserve">PRC-048</t>
  </si>
  <si>
    <t xml:space="preserve">Focal / grid laser</t>
  </si>
  <si>
    <t xml:space="preserve">Macular laser</t>
  </si>
  <si>
    <t xml:space="preserve">Laser to leaking microaneurysms</t>
  </si>
  <si>
    <t xml:space="preserve">DME, BRVO</t>
  </si>
  <si>
    <t xml:space="preserve">PRC-049</t>
  </si>
  <si>
    <t xml:space="preserve">Laser barrage / retinopexy</t>
  </si>
  <si>
    <t xml:space="preserve">Barrage laser</t>
  </si>
  <si>
    <t xml:space="preserve">Laser around retinal tear / lattice</t>
  </si>
  <si>
    <t xml:space="preserve">Retinal tear, lattice</t>
  </si>
  <si>
    <t xml:space="preserve">PRC-050</t>
  </si>
  <si>
    <t xml:space="preserve">IVI (anti-VEGF / steroid)</t>
  </si>
  <si>
    <t xml:space="preserve">Retina procedure</t>
  </si>
  <si>
    <t xml:space="preserve">Drug injected into vitreous 3.5–4 mm from limbus</t>
  </si>
  <si>
    <t xml:space="preserve">Wet AMD, DME, RVO, endophthalmitis</t>
  </si>
  <si>
    <t xml:space="preserve">Topical; OT / clean room</t>
  </si>
  <si>
    <t xml:space="preserve">PRC-051</t>
  </si>
  <si>
    <t xml:space="preserve">Pars plana vitrectomy</t>
  </si>
  <si>
    <t xml:space="preserve">PPV (23G / 25G)</t>
  </si>
  <si>
    <t xml:space="preserve">Retina surgery</t>
  </si>
  <si>
    <t xml:space="preserve">Removal of vitreous gel with instruments</t>
  </si>
  <si>
    <t xml:space="preserve">RD, VH, macular hole, ERM, endophthalmitis, dropped nucleus</t>
  </si>
  <si>
    <t xml:space="preserve">PRC-052</t>
  </si>
  <si>
    <t xml:space="preserve">Scleral buckle</t>
  </si>
  <si>
    <t xml:space="preserve">SB, SFR (scleral buckling)</t>
  </si>
  <si>
    <t xml:space="preserve">Silicone band sutured on sclera to support retina</t>
  </si>
  <si>
    <t xml:space="preserve">Rhegmatogenous RD (young, phakic)</t>
  </si>
  <si>
    <t xml:space="preserve">PRC-053</t>
  </si>
  <si>
    <t xml:space="preserve">Pneumatic retinopexy</t>
  </si>
  <si>
    <t xml:space="preserve">Gas bubble injection + positioning + cryo / laser</t>
  </si>
  <si>
    <t xml:space="preserve">Selected superior RD</t>
  </si>
  <si>
    <t xml:space="preserve">PRC-054</t>
  </si>
  <si>
    <t xml:space="preserve">Silicone oil removal</t>
  </si>
  <si>
    <t xml:space="preserve">SOR</t>
  </si>
  <si>
    <t xml:space="preserve">Removal of silicone oil tamponade</t>
  </si>
  <si>
    <t xml:space="preserve">After PPV</t>
  </si>
  <si>
    <t xml:space="preserve">PRC-055</t>
  </si>
  <si>
    <t xml:space="preserve">Photodynamic therapy</t>
  </si>
  <si>
    <t xml:space="preserve">PDT (verteporfin)</t>
  </si>
  <si>
    <t xml:space="preserve">Light-activated drug closes abnormal vessels</t>
  </si>
  <si>
    <t xml:space="preserve">Chronic CSCR, PCV</t>
  </si>
  <si>
    <t xml:space="preserve">PRC-056</t>
  </si>
  <si>
    <t xml:space="preserve">Squint surgery</t>
  </si>
  <si>
    <t xml:space="preserve">Recession / resection of EOM</t>
  </si>
  <si>
    <t xml:space="preserve">Strabismus surgery</t>
  </si>
  <si>
    <t xml:space="preserve">Adjusting extraocular muscles to align eyes</t>
  </si>
  <si>
    <t xml:space="preserve">Esotropia, exotropia</t>
  </si>
  <si>
    <t xml:space="preserve">GA (children) / local</t>
  </si>
  <si>
    <t xml:space="preserve">PRC-057</t>
  </si>
  <si>
    <t xml:space="preserve">Occlusion therapy</t>
  </si>
  <si>
    <t xml:space="preserve">Patching</t>
  </si>
  <si>
    <t xml:space="preserve">Paediatric treatment</t>
  </si>
  <si>
    <t xml:space="preserve">Patching the better eye for set hours daily</t>
  </si>
  <si>
    <t xml:space="preserve">Home</t>
  </si>
  <si>
    <t xml:space="preserve">PRC-058</t>
  </si>
  <si>
    <t xml:space="preserve">Enucleation</t>
  </si>
  <si>
    <t xml:space="preserve">Orbit surgery</t>
  </si>
  <si>
    <t xml:space="preserve">Removal of the entire eyeball</t>
  </si>
  <si>
    <t xml:space="preserve">Retinoblastoma, painful blind eye</t>
  </si>
  <si>
    <t xml:space="preserve">GA</t>
  </si>
  <si>
    <t xml:space="preserve">PRC-059</t>
  </si>
  <si>
    <t xml:space="preserve">Evisceration</t>
  </si>
  <si>
    <t xml:space="preserve">Removal of eye contents, sclera retained</t>
  </si>
  <si>
    <t xml:space="preserve">Endophthalmitis / panophthalmitis, painful blind eye</t>
  </si>
  <si>
    <t xml:space="preserve">GA / local</t>
  </si>
  <si>
    <t xml:space="preserve">PRC-060</t>
  </si>
  <si>
    <t xml:space="preserve">Orbital decompression</t>
  </si>
  <si>
    <t xml:space="preserve">Removal of orbital wall / fat</t>
  </si>
  <si>
    <t xml:space="preserve">Severe TED, compressive optic neuropathy</t>
  </si>
  <si>
    <t xml:space="preserve">PRC-061</t>
  </si>
  <si>
    <t xml:space="preserve">Anterior chamber wash / paracentesis</t>
  </si>
  <si>
    <t xml:space="preserve">AC wash, AC tap</t>
  </si>
  <si>
    <t xml:space="preserve">Anterior segment procedure</t>
  </si>
  <si>
    <t xml:space="preserve">Removal of blood / cortex / aqueous sample</t>
  </si>
  <si>
    <t xml:space="preserve">Hyphaema, retained cortex, diagnostic tap</t>
  </si>
  <si>
    <t xml:space="preserve">OT</t>
  </si>
  <si>
    <t xml:space="preserve">PRC-062</t>
  </si>
  <si>
    <t xml:space="preserve">Vitreous tap and intravitreal antibiotics</t>
  </si>
  <si>
    <t xml:space="preserve">Tap &amp; inject</t>
  </si>
  <si>
    <t xml:space="preserve">Emergency retina procedure</t>
  </si>
  <si>
    <t xml:space="preserve">Sample vitreous and inject antibiotics</t>
  </si>
  <si>
    <t xml:space="preserve">PRC-063</t>
  </si>
  <si>
    <t xml:space="preserve">Primary globe repair</t>
  </si>
  <si>
    <t xml:space="preserve">Corneoscleral tear repair</t>
  </si>
  <si>
    <t xml:space="preserve">Trauma surgery</t>
  </si>
  <si>
    <t xml:space="preserve">Suturing of open globe injury</t>
  </si>
  <si>
    <t xml:space="preserve">PRC-064</t>
  </si>
  <si>
    <t xml:space="preserve">Ocular prosthesis fitting</t>
  </si>
  <si>
    <t xml:space="preserve">Artificial eye</t>
  </si>
  <si>
    <t xml:space="preserve">Rehabilitation</t>
  </si>
  <si>
    <t xml:space="preserve">Custom shell after enucleation / evisceration</t>
  </si>
  <si>
    <t xml:space="preserve">Anophthalmic socket</t>
  </si>
  <si>
    <t xml:space="preserve">Term</t>
  </si>
  <si>
    <t xml:space="preserve">Abbreviation / Notation</t>
  </si>
  <si>
    <t xml:space="preserve">Example (as written)</t>
  </si>
  <si>
    <t xml:space="preserve">OPT-001</t>
  </si>
  <si>
    <t xml:space="preserve">Right eye</t>
  </si>
  <si>
    <t xml:space="preserve">RE / OD (oculus dexter)</t>
  </si>
  <si>
    <t xml:space="preserve">Right eye in prescriptions</t>
  </si>
  <si>
    <t xml:space="preserve">RE: -1.50 DS</t>
  </si>
  <si>
    <t xml:space="preserve">OPT-002</t>
  </si>
  <si>
    <t xml:space="preserve">Left eye</t>
  </si>
  <si>
    <t xml:space="preserve">LE / OS (oculus sinister)</t>
  </si>
  <si>
    <t xml:space="preserve">LE: -1.75 DS</t>
  </si>
  <si>
    <t xml:space="preserve">OPT-003</t>
  </si>
  <si>
    <t xml:space="preserve">Both eyes</t>
  </si>
  <si>
    <t xml:space="preserve">BE / OU (oculus uterque)</t>
  </si>
  <si>
    <t xml:space="preserve">BE: Add +2.00 DS</t>
  </si>
  <si>
    <t xml:space="preserve">OPT-004</t>
  </si>
  <si>
    <t xml:space="preserve">Spherical power</t>
  </si>
  <si>
    <t xml:space="preserve">Sph / DS (dioptre sphere)</t>
  </si>
  <si>
    <t xml:space="preserve">Power for myopia (–) or hypermetropia (+)</t>
  </si>
  <si>
    <t xml:space="preserve">-2.00 DS</t>
  </si>
  <si>
    <t xml:space="preserve">OPT-005</t>
  </si>
  <si>
    <t xml:space="preserve">Cylindrical power</t>
  </si>
  <si>
    <t xml:space="preserve">Cyl / DC (dioptre cylinder)</t>
  </si>
  <si>
    <t xml:space="preserve">Power correcting astigmatism</t>
  </si>
  <si>
    <t xml:space="preserve">-0.75 DC</t>
  </si>
  <si>
    <t xml:space="preserve">OPT-006</t>
  </si>
  <si>
    <t xml:space="preserve">Axis</t>
  </si>
  <si>
    <t xml:space="preserve">Ax</t>
  </si>
  <si>
    <t xml:space="preserve">Orientation of cylinder, 0–180°</t>
  </si>
  <si>
    <t xml:space="preserve">-0.75 DC × 180°</t>
  </si>
  <si>
    <t xml:space="preserve">OPT-007</t>
  </si>
  <si>
    <t xml:space="preserve">Addition</t>
  </si>
  <si>
    <t xml:space="preserve">Add</t>
  </si>
  <si>
    <t xml:space="preserve">Extra plus power for near (presbyopia)</t>
  </si>
  <si>
    <t xml:space="preserve">Add +2.50 DS</t>
  </si>
  <si>
    <t xml:space="preserve">OPT-008</t>
  </si>
  <si>
    <t xml:space="preserve">Dioptre</t>
  </si>
  <si>
    <t xml:space="preserve">D</t>
  </si>
  <si>
    <t xml:space="preserve">Unit of lens power (1 / focal length in metres)</t>
  </si>
  <si>
    <t xml:space="preserve">+1.00 D</t>
  </si>
  <si>
    <t xml:space="preserve">OPT-009</t>
  </si>
  <si>
    <t xml:space="preserve">Plano</t>
  </si>
  <si>
    <t xml:space="preserve">PL / ∞</t>
  </si>
  <si>
    <t xml:space="preserve">Zero power</t>
  </si>
  <si>
    <t xml:space="preserve">Plano / -0.50 × 90</t>
  </si>
  <si>
    <t xml:space="preserve">OPT-010</t>
  </si>
  <si>
    <t xml:space="preserve">Spherical equivalent</t>
  </si>
  <si>
    <t xml:space="preserve">SE</t>
  </si>
  <si>
    <t xml:space="preserve">Sphere + ½ cylinder</t>
  </si>
  <si>
    <t xml:space="preserve">-2.00 / -1.00 × 180 → SE -2.50</t>
  </si>
  <si>
    <t xml:space="preserve">OPT-011</t>
  </si>
  <si>
    <t xml:space="preserve">Prism dioptre</t>
  </si>
  <si>
    <t xml:space="preserve">PD / Δ</t>
  </si>
  <si>
    <t xml:space="preserve">Unit of prism power / squint measurement</t>
  </si>
  <si>
    <t xml:space="preserve">2Δ base-in</t>
  </si>
  <si>
    <t xml:space="preserve">OPT-012</t>
  </si>
  <si>
    <t xml:space="preserve">Base in / out / up / down</t>
  </si>
  <si>
    <t xml:space="preserve">BI / BO / BU / BD</t>
  </si>
  <si>
    <t xml:space="preserve">Direction of prism in glasses</t>
  </si>
  <si>
    <t xml:space="preserve">3Δ BO RE</t>
  </si>
  <si>
    <t xml:space="preserve">OPT-013</t>
  </si>
  <si>
    <t xml:space="preserve">Interpupillary distance</t>
  </si>
  <si>
    <t xml:space="preserve">IPD / PD</t>
  </si>
  <si>
    <t xml:space="preserve">Distance between pupils for glass fitting</t>
  </si>
  <si>
    <t xml:space="preserve">IPD 62 mm</t>
  </si>
  <si>
    <t xml:space="preserve">OPT-014</t>
  </si>
  <si>
    <t xml:space="preserve">Vertex distance</t>
  </si>
  <si>
    <t xml:space="preserve">BVD</t>
  </si>
  <si>
    <t xml:space="preserve">Distance between lens and cornea; matters for &gt; ±4 D</t>
  </si>
  <si>
    <t xml:space="preserve">12 mm</t>
  </si>
  <si>
    <t xml:space="preserve">OPT-015</t>
  </si>
  <si>
    <t xml:space="preserve">Snellen notation</t>
  </si>
  <si>
    <t xml:space="preserve">6/6, 6/9, 6/12, 6/18, 6/24, 6/36, 6/60</t>
  </si>
  <si>
    <t xml:space="preserve">Distance acuity (metres)</t>
  </si>
  <si>
    <t xml:space="preserve">RE 6/9 → 6/6 with PH</t>
  </si>
  <si>
    <t xml:space="preserve">OPT-016</t>
  </si>
  <si>
    <t xml:space="preserve">Near notation</t>
  </si>
  <si>
    <t xml:space="preserve">N6, N8, N10, N12, N18, N36 / J1–J6</t>
  </si>
  <si>
    <t xml:space="preserve">Near reading acuity</t>
  </si>
  <si>
    <t xml:space="preserve">Near vision N6 with add</t>
  </si>
  <si>
    <t xml:space="preserve">OPT-017</t>
  </si>
  <si>
    <t xml:space="preserve">Emmetropia</t>
  </si>
  <si>
    <t xml:space="preserve">No refractive error</t>
  </si>
  <si>
    <t xml:space="preserve">Emmetropic both eyes</t>
  </si>
  <si>
    <t xml:space="preserve">OPT-018</t>
  </si>
  <si>
    <t xml:space="preserve">Unifocal / single-vision lenses</t>
  </si>
  <si>
    <t xml:space="preserve">SV</t>
  </si>
  <si>
    <t xml:space="preserve">One power throughout lens</t>
  </si>
  <si>
    <t xml:space="preserve">Distance glasses only</t>
  </si>
  <si>
    <t xml:space="preserve">OPT-019</t>
  </si>
  <si>
    <t xml:space="preserve">Bifocal lenses</t>
  </si>
  <si>
    <t xml:space="preserve">Kryptok / D-segment / executive</t>
  </si>
  <si>
    <t xml:space="preserve">Two powers (distance + near) with visible line</t>
  </si>
  <si>
    <t xml:space="preserve">Bifocal D-top</t>
  </si>
  <si>
    <t xml:space="preserve">OPT-020</t>
  </si>
  <si>
    <t xml:space="preserve">Progressive addition lenses</t>
  </si>
  <si>
    <t xml:space="preserve">PAL, progressives</t>
  </si>
  <si>
    <t xml:space="preserve">Gradual power change: distance → intermediate → near, no line</t>
  </si>
  <si>
    <t xml:space="preserve">Advised PAL</t>
  </si>
  <si>
    <t xml:space="preserve">OPT-021</t>
  </si>
  <si>
    <t xml:space="preserve">Anti-reflective coating</t>
  </si>
  <si>
    <t xml:space="preserve">ARC</t>
  </si>
  <si>
    <t xml:space="preserve">Reduces glare and reflections</t>
  </si>
  <si>
    <t xml:space="preserve">ARC, hard coat</t>
  </si>
  <si>
    <t xml:space="preserve">OPT-022</t>
  </si>
  <si>
    <t xml:space="preserve">Blue-cut lens</t>
  </si>
  <si>
    <t xml:space="preserve">Filters blue light (screen users)</t>
  </si>
  <si>
    <t xml:space="preserve">Blue-cut ARC</t>
  </si>
  <si>
    <t xml:space="preserve">OPT-023</t>
  </si>
  <si>
    <t xml:space="preserve">Photochromic lens</t>
  </si>
  <si>
    <t xml:space="preserve">Photogrey / transitions</t>
  </si>
  <si>
    <t xml:space="preserve">Darkens in sunlight</t>
  </si>
  <si>
    <t xml:space="preserve">Photochromic for outdoor</t>
  </si>
  <si>
    <t xml:space="preserve">OPT-024</t>
  </si>
  <si>
    <t xml:space="preserve">Polycarbonate lens</t>
  </si>
  <si>
    <t xml:space="preserve">Impact-resistant; children / sports</t>
  </si>
  <si>
    <t xml:space="preserve">Polycarbonate for child</t>
  </si>
  <si>
    <t xml:space="preserve">OPT-025</t>
  </si>
  <si>
    <t xml:space="preserve">High-index lens</t>
  </si>
  <si>
    <t xml:space="preserve">1.67 / 1.74</t>
  </si>
  <si>
    <t xml:space="preserve">Thinner lenses for high power</t>
  </si>
  <si>
    <t xml:space="preserve">1.67 index for -8.00</t>
  </si>
  <si>
    <t xml:space="preserve">OPT-026</t>
  </si>
  <si>
    <t xml:space="preserve">Myopia control spectacle lens</t>
  </si>
  <si>
    <t xml:space="preserve">DIMS / HAL (e.g., defocus lenses)</t>
  </si>
  <si>
    <t xml:space="preserve">Slows myopia progression in children</t>
  </si>
  <si>
    <t xml:space="preserve">DIMS lenses prescribed</t>
  </si>
  <si>
    <t xml:space="preserve">OPT-027</t>
  </si>
  <si>
    <t xml:space="preserve">Soft contact lens</t>
  </si>
  <si>
    <t xml:space="preserve">SCL</t>
  </si>
  <si>
    <t xml:space="preserve">Flexible lenses (daily / monthly)</t>
  </si>
  <si>
    <t xml:space="preserve">Monthly disposable SCL</t>
  </si>
  <si>
    <t xml:space="preserve">OPT-028</t>
  </si>
  <si>
    <t xml:space="preserve">Rigid gas-permeable lens</t>
  </si>
  <si>
    <t xml:space="preserve">RGP</t>
  </si>
  <si>
    <t xml:space="preserve">Rigid lens for keratoconus / irregular cornea</t>
  </si>
  <si>
    <t xml:space="preserve">RGP trial for KC</t>
  </si>
  <si>
    <t xml:space="preserve">OPT-029</t>
  </si>
  <si>
    <t xml:space="preserve">Scleral lens</t>
  </si>
  <si>
    <t xml:space="preserve">Large rigid lens vaulting over cornea</t>
  </si>
  <si>
    <t xml:space="preserve">Scleral lens for advanced KC</t>
  </si>
  <si>
    <t xml:space="preserve">OPT-030</t>
  </si>
  <si>
    <t xml:space="preserve">Toric contact lens</t>
  </si>
  <si>
    <t xml:space="preserve">Contact lens correcting astigmatism</t>
  </si>
  <si>
    <t xml:space="preserve">Toric SCL -2.00 / -1.25 × 180</t>
  </si>
  <si>
    <t xml:space="preserve">OPT-031</t>
  </si>
  <si>
    <t xml:space="preserve">Orthokeratology</t>
  </si>
  <si>
    <t xml:space="preserve">Ortho-K</t>
  </si>
  <si>
    <t xml:space="preserve">Overnight rigid lens to reshape cornea temporarily</t>
  </si>
  <si>
    <t xml:space="preserve">Ortho-K for myopia control</t>
  </si>
  <si>
    <t xml:space="preserve">OPT-032</t>
  </si>
  <si>
    <t xml:space="preserve">Low-vision aids</t>
  </si>
  <si>
    <t xml:space="preserve">LVA</t>
  </si>
  <si>
    <t xml:space="preserve">Magnifiers, telescopes, CCTV</t>
  </si>
  <si>
    <t xml:space="preserve">Hand magnifier 4×</t>
  </si>
  <si>
    <t xml:space="preserve">OPT-033</t>
  </si>
  <si>
    <t xml:space="preserve">Accommodation</t>
  </si>
  <si>
    <t xml:space="preserve">Eye's ability to focus for near</t>
  </si>
  <si>
    <t xml:space="preserve">Reduced with age (presbyopia)</t>
  </si>
  <si>
    <t xml:space="preserve">OPT-034</t>
  </si>
  <si>
    <t xml:space="preserve">Difference in power between eyes</t>
  </si>
  <si>
    <t xml:space="preserve">RE -1.00 / LE -4.00</t>
  </si>
  <si>
    <t xml:space="preserve">OPT-035</t>
  </si>
  <si>
    <t xml:space="preserve">Aniseikonia</t>
  </si>
  <si>
    <t xml:space="preserve">Difference in image size between eyes</t>
  </si>
  <si>
    <t xml:space="preserve">After unilateral aphakia</t>
  </si>
  <si>
    <t xml:space="preserve">OPT-036</t>
  </si>
  <si>
    <t xml:space="preserve">Refractive surprise / residual refractive error</t>
  </si>
  <si>
    <t xml:space="preserve">Unexpected power after cataract / refractive surgery</t>
  </si>
  <si>
    <t xml:space="preserve">Residual -1.00 after phaco</t>
  </si>
  <si>
    <t xml:space="preserve">OPT-037</t>
  </si>
  <si>
    <t xml:space="preserve">Glass prescription validity</t>
  </si>
  <si>
    <t xml:space="preserve">Recommended re-check interval</t>
  </si>
  <si>
    <t xml:space="preserve">Review after 1 year (children 6 months)</t>
  </si>
  <si>
    <t xml:space="preserve">Full Form</t>
  </si>
  <si>
    <t xml:space="preserve">Context</t>
  </si>
  <si>
    <t xml:space="preserve">Example Usage</t>
  </si>
  <si>
    <t xml:space="preserve">ABR-001</t>
  </si>
  <si>
    <t xml:space="preserve">c/o</t>
  </si>
  <si>
    <t xml:space="preserve">Complains of</t>
  </si>
  <si>
    <t xml:space="preserve">History</t>
  </si>
  <si>
    <t xml:space="preserve">c/o DOV RE × 6 months</t>
  </si>
  <si>
    <t xml:space="preserve">ABR-002</t>
  </si>
  <si>
    <t xml:space="preserve">DOV</t>
  </si>
  <si>
    <t xml:space="preserve">Diminution of vision</t>
  </si>
  <si>
    <t xml:space="preserve">Gradual painless DOV BE</t>
  </si>
  <si>
    <t xml:space="preserve">ABR-003</t>
  </si>
  <si>
    <t xml:space="preserve">H/o</t>
  </si>
  <si>
    <t xml:space="preserve">History of</t>
  </si>
  <si>
    <t xml:space="preserve">H/o trauma LE with stick</t>
  </si>
  <si>
    <t xml:space="preserve">ABR-004</t>
  </si>
  <si>
    <t xml:space="preserve">k/c/o</t>
  </si>
  <si>
    <t xml:space="preserve">Known case of</t>
  </si>
  <si>
    <t xml:space="preserve">k/c/o DM, HTN</t>
  </si>
  <si>
    <t xml:space="preserve">ABR-005</t>
  </si>
  <si>
    <t xml:space="preserve">DM</t>
  </si>
  <si>
    <t xml:space="preserve">Diabetes mellitus</t>
  </si>
  <si>
    <t xml:space="preserve">Systemic history</t>
  </si>
  <si>
    <t xml:space="preserve">DM × 10 yrs on OHA</t>
  </si>
  <si>
    <t xml:space="preserve">ABR-006</t>
  </si>
  <si>
    <t xml:space="preserve">HTN</t>
  </si>
  <si>
    <t xml:space="preserve">Hypertension</t>
  </si>
  <si>
    <t xml:space="preserve">HTN on medication</t>
  </si>
  <si>
    <t xml:space="preserve">ABR-007</t>
  </si>
  <si>
    <t xml:space="preserve">BA / COPD</t>
  </si>
  <si>
    <t xml:space="preserve">Bronchial asthma / chronic obstructive pulmonary disease</t>
  </si>
  <si>
    <t xml:space="preserve">Timolol contraindicated in BA</t>
  </si>
  <si>
    <t xml:space="preserve">ABR-008</t>
  </si>
  <si>
    <t xml:space="preserve">s/p</t>
  </si>
  <si>
    <t xml:space="preserve">Status post</t>
  </si>
  <si>
    <t xml:space="preserve">s/p phaco + PCIOL RE (2024)</t>
  </si>
  <si>
    <t xml:space="preserve">ABR-009</t>
  </si>
  <si>
    <t xml:space="preserve">POD</t>
  </si>
  <si>
    <t xml:space="preserve">Post-operative day</t>
  </si>
  <si>
    <t xml:space="preserve">Follow-up</t>
  </si>
  <si>
    <t xml:space="preserve">POD 1: VA 6/12, AC quiet</t>
  </si>
  <si>
    <t xml:space="preserve">ABR-010</t>
  </si>
  <si>
    <t xml:space="preserve">RE / LE / BE</t>
  </si>
  <si>
    <t xml:space="preserve">Right / left / both eyes</t>
  </si>
  <si>
    <t xml:space="preserve">All notes</t>
  </si>
  <si>
    <t xml:space="preserve">BE allergic conjunctivitis</t>
  </si>
  <si>
    <t xml:space="preserve">ABR-011</t>
  </si>
  <si>
    <t xml:space="preserve">OD / OS / OU</t>
  </si>
  <si>
    <t xml:space="preserve">Right eye / left eye / both eyes (Latin)</t>
  </si>
  <si>
    <t xml:space="preserve">Caution: "OD" is also used for "once daily" – write RE / LE to avoid errors</t>
  </si>
  <si>
    <t xml:space="preserve">ABR-012</t>
  </si>
  <si>
    <t xml:space="preserve">VA</t>
  </si>
  <si>
    <t xml:space="preserve">Visual acuity</t>
  </si>
  <si>
    <t xml:space="preserve">VA RE 6/18, LE 6/9</t>
  </si>
  <si>
    <t xml:space="preserve">ABR-013</t>
  </si>
  <si>
    <t xml:space="preserve">UCVA / BCVA</t>
  </si>
  <si>
    <t xml:space="preserve">Uncorrected / best-corrected visual acuity</t>
  </si>
  <si>
    <t xml:space="preserve">BCVA 6/6 BE</t>
  </si>
  <si>
    <t xml:space="preserve">ABR-014</t>
  </si>
  <si>
    <t xml:space="preserve">Pinhole</t>
  </si>
  <si>
    <t xml:space="preserve">6/18 → 6/9 with PH</t>
  </si>
  <si>
    <t xml:space="preserve">ABR-015</t>
  </si>
  <si>
    <t xml:space="preserve">CF / HM / PL / NPL</t>
  </si>
  <si>
    <t xml:space="preserve">Counting fingers / hand movements / perception of light / no perception of light</t>
  </si>
  <si>
    <t xml:space="preserve">RE HM+, PR accurate</t>
  </si>
  <si>
    <t xml:space="preserve">ABR-016</t>
  </si>
  <si>
    <t xml:space="preserve">PR</t>
  </si>
  <si>
    <t xml:space="preserve">PL+, PR accurate in all quadrants</t>
  </si>
  <si>
    <t xml:space="preserve">ABR-017</t>
  </si>
  <si>
    <t xml:space="preserve">IOP 16 / 18 mmHg (NCT)</t>
  </si>
  <si>
    <t xml:space="preserve">ABR-018</t>
  </si>
  <si>
    <t xml:space="preserve">NCT / AT</t>
  </si>
  <si>
    <t xml:space="preserve">Non-contact tonometry / applanation tonometry</t>
  </si>
  <si>
    <t xml:space="preserve">IOP by AT 24 mmHg RE</t>
  </si>
  <si>
    <t xml:space="preserve">ABR-019</t>
  </si>
  <si>
    <t xml:space="preserve">SLE</t>
  </si>
  <si>
    <t xml:space="preserve">Slit-lamp examination</t>
  </si>
  <si>
    <t xml:space="preserve">SLE: NS2 cataract RE</t>
  </si>
  <si>
    <t xml:space="preserve">ABR-020</t>
  </si>
  <si>
    <t xml:space="preserve">AC</t>
  </si>
  <si>
    <t xml:space="preserve">AC normal depth, quiet</t>
  </si>
  <si>
    <t xml:space="preserve">ABR-021</t>
  </si>
  <si>
    <t xml:space="preserve">PS / PAS</t>
  </si>
  <si>
    <t xml:space="preserve">Posterior synechiae / peripheral anterior synechiae</t>
  </si>
  <si>
    <t xml:space="preserve">PS at 4–6 o'clock</t>
  </si>
  <si>
    <t xml:space="preserve">ABR-022</t>
  </si>
  <si>
    <t xml:space="preserve">KPs</t>
  </si>
  <si>
    <t xml:space="preserve">Fine KPs on endothelium</t>
  </si>
  <si>
    <t xml:space="preserve">ABR-023</t>
  </si>
  <si>
    <t xml:space="preserve">No RAPD</t>
  </si>
  <si>
    <t xml:space="preserve">ABR-024</t>
  </si>
  <si>
    <t xml:space="preserve">PERRLA</t>
  </si>
  <si>
    <t xml:space="preserve">Pupils equal, round, reactive to light and accommodation</t>
  </si>
  <si>
    <t xml:space="preserve">Pupils PERRLA</t>
  </si>
  <si>
    <t xml:space="preserve">ABR-025</t>
  </si>
  <si>
    <t xml:space="preserve">NS / PSC / CC</t>
  </si>
  <si>
    <t xml:space="preserve">Nuclear sclerosis / posterior subcapsular cataract / cortical cataract</t>
  </si>
  <si>
    <t xml:space="preserve">NS3 + PSC RE</t>
  </si>
  <si>
    <t xml:space="preserve">ABR-026</t>
  </si>
  <si>
    <t xml:space="preserve">IMSC / SMC</t>
  </si>
  <si>
    <t xml:space="preserve">Immature senile cataract / senile mature cataract</t>
  </si>
  <si>
    <t xml:space="preserve">Diagnosis</t>
  </si>
  <si>
    <t xml:space="preserve">IMSC BE, SMC LE</t>
  </si>
  <si>
    <t xml:space="preserve">ABR-027</t>
  </si>
  <si>
    <t xml:space="preserve">PCIOL / ACIOL</t>
  </si>
  <si>
    <t xml:space="preserve">Posterior / anterior chamber intraocular lens</t>
  </si>
  <si>
    <t xml:space="preserve">Examination / operative</t>
  </si>
  <si>
    <t xml:space="preserve">PCIOL in bag, well-centred</t>
  </si>
  <si>
    <t xml:space="preserve">ABR-028</t>
  </si>
  <si>
    <t xml:space="preserve">PCO RE – advised YAG</t>
  </si>
  <si>
    <t xml:space="preserve">ABR-029</t>
  </si>
  <si>
    <t xml:space="preserve">C:D / CDR</t>
  </si>
  <si>
    <t xml:space="preserve">Fundus</t>
  </si>
  <si>
    <t xml:space="preserve">C:D 0.7 RE, 0.4 LE</t>
  </si>
  <si>
    <t xml:space="preserve">ABR-030</t>
  </si>
  <si>
    <t xml:space="preserve">DFE: NPDR mild BE</t>
  </si>
  <si>
    <t xml:space="preserve">ABR-031</t>
  </si>
  <si>
    <t xml:space="preserve">NPDR / PDR</t>
  </si>
  <si>
    <t xml:space="preserve">Non-proliferative / proliferative diabetic retinopathy</t>
  </si>
  <si>
    <t xml:space="preserve">Severe NPDR with CSME RE</t>
  </si>
  <si>
    <t xml:space="preserve">ABR-032</t>
  </si>
  <si>
    <t xml:space="preserve">CSME / DME</t>
  </si>
  <si>
    <t xml:space="preserve">Clinically significant macular oedema / diabetic macular oedema</t>
  </si>
  <si>
    <t xml:space="preserve">CSME LE – advised anti-VEGF</t>
  </si>
  <si>
    <t xml:space="preserve">ABR-033</t>
  </si>
  <si>
    <t xml:space="preserve">ARMD / AMD</t>
  </si>
  <si>
    <t xml:space="preserve">Age-related macular degeneration</t>
  </si>
  <si>
    <t xml:space="preserve">Dry ARMD BE</t>
  </si>
  <si>
    <t xml:space="preserve">ABR-034</t>
  </si>
  <si>
    <t xml:space="preserve">CNVM</t>
  </si>
  <si>
    <t xml:space="preserve">Choroidal neovascular membrane</t>
  </si>
  <si>
    <t xml:space="preserve">Active CNVM LE on OCT</t>
  </si>
  <si>
    <t xml:space="preserve">ABR-035</t>
  </si>
  <si>
    <t xml:space="preserve">RD / RRD</t>
  </si>
  <si>
    <t xml:space="preserve">Retinal detachment / rhegmatogenous RD</t>
  </si>
  <si>
    <t xml:space="preserve">Macula-off RRD RE</t>
  </si>
  <si>
    <t xml:space="preserve">ABR-036</t>
  </si>
  <si>
    <t xml:space="preserve">PVD RE, no breaks</t>
  </si>
  <si>
    <t xml:space="preserve">ABR-037</t>
  </si>
  <si>
    <t xml:space="preserve">VH LE, B-scan: retina attached</t>
  </si>
  <si>
    <t xml:space="preserve">ABR-038</t>
  </si>
  <si>
    <t xml:space="preserve">CRVO / BRVO / CRAO</t>
  </si>
  <si>
    <t xml:space="preserve">Central / branch retinal vein occlusion; central retinal artery occlusion</t>
  </si>
  <si>
    <t xml:space="preserve">BRVO superotemporal RE</t>
  </si>
  <si>
    <t xml:space="preserve">ABR-039</t>
  </si>
  <si>
    <t xml:space="preserve">CSCR</t>
  </si>
  <si>
    <t xml:space="preserve">CSCR RE</t>
  </si>
  <si>
    <t xml:space="preserve">ABR-040</t>
  </si>
  <si>
    <t xml:space="preserve">CMT</t>
  </si>
  <si>
    <t xml:space="preserve">Central macular thickness</t>
  </si>
  <si>
    <t xml:space="preserve">CMT 420 µm</t>
  </si>
  <si>
    <t xml:space="preserve">ABR-041</t>
  </si>
  <si>
    <t xml:space="preserve">RNFL</t>
  </si>
  <si>
    <t xml:space="preserve">Retinal nerve fibre layer</t>
  </si>
  <si>
    <t xml:space="preserve">RNFL thinning inferiorly</t>
  </si>
  <si>
    <t xml:space="preserve">ABR-042</t>
  </si>
  <si>
    <t xml:space="preserve">HFA</t>
  </si>
  <si>
    <t xml:space="preserve">Humphrey field analyser</t>
  </si>
  <si>
    <t xml:space="preserve">Perimetry</t>
  </si>
  <si>
    <t xml:space="preserve">HFA 24-2: superior arcuate defect</t>
  </si>
  <si>
    <t xml:space="preserve">ABR-043</t>
  </si>
  <si>
    <t xml:space="preserve">MD / PSD / VFI</t>
  </si>
  <si>
    <t xml:space="preserve">Mean deviation / pattern standard deviation / visual field index</t>
  </si>
  <si>
    <t xml:space="preserve">MD -8.5 dB</t>
  </si>
  <si>
    <t xml:space="preserve">ABR-044</t>
  </si>
  <si>
    <t xml:space="preserve">POAG / PACG / PACS</t>
  </si>
  <si>
    <t xml:space="preserve">Primary open-angle glaucoma / primary angle-closure glaucoma / suspect</t>
  </si>
  <si>
    <t xml:space="preserve">POAG BE on PGA</t>
  </si>
  <si>
    <t xml:space="preserve">ABR-045</t>
  </si>
  <si>
    <t xml:space="preserve">OHT – observation</t>
  </si>
  <si>
    <t xml:space="preserve">ABR-046</t>
  </si>
  <si>
    <t xml:space="preserve">PGA</t>
  </si>
  <si>
    <t xml:space="preserve">Prostaglandin analogue</t>
  </si>
  <si>
    <t xml:space="preserve">Treatment</t>
  </si>
  <si>
    <t xml:space="preserve">PGA HS BE</t>
  </si>
  <si>
    <t xml:space="preserve">ABR-047</t>
  </si>
  <si>
    <t xml:space="preserve">FB</t>
  </si>
  <si>
    <t xml:space="preserve">Foreign body</t>
  </si>
  <si>
    <t xml:space="preserve">Diagnosis / procedure</t>
  </si>
  <si>
    <t xml:space="preserve">Corneal FB removed LE</t>
  </si>
  <si>
    <t xml:space="preserve">ABR-048</t>
  </si>
  <si>
    <t xml:space="preserve">SPK / PEE</t>
  </si>
  <si>
    <t xml:space="preserve">Superficial punctate keratitis / punctate epithelial erosions</t>
  </si>
  <si>
    <t xml:space="preserve">Inferior PEE BE</t>
  </si>
  <si>
    <t xml:space="preserve">ABR-049</t>
  </si>
  <si>
    <t xml:space="preserve">BCL applied RE</t>
  </si>
  <si>
    <t xml:space="preserve">ABR-050</t>
  </si>
  <si>
    <t xml:space="preserve">SCH LE, BP 160/100</t>
  </si>
  <si>
    <t xml:space="preserve">ABR-051</t>
  </si>
  <si>
    <t xml:space="preserve">NLDO</t>
  </si>
  <si>
    <t xml:space="preserve">Syringing: regurgitation – NLDO RE</t>
  </si>
  <si>
    <t xml:space="preserve">ABR-052</t>
  </si>
  <si>
    <t xml:space="preserve">ROPLAS +ve LE</t>
  </si>
  <si>
    <t xml:space="preserve">ABR-053</t>
  </si>
  <si>
    <t xml:space="preserve">MRD1</t>
  </si>
  <si>
    <t xml:space="preserve">Margin reflex distance 1</t>
  </si>
  <si>
    <t xml:space="preserve">Ptosis evaluation</t>
  </si>
  <si>
    <t xml:space="preserve">MRD1 1 mm RE</t>
  </si>
  <si>
    <t xml:space="preserve">ABR-054</t>
  </si>
  <si>
    <t xml:space="preserve">EOM</t>
  </si>
  <si>
    <t xml:space="preserve">EOM full, free BE</t>
  </si>
  <si>
    <t xml:space="preserve">ABR-055</t>
  </si>
  <si>
    <t xml:space="preserve">ET / XT / HT</t>
  </si>
  <si>
    <t xml:space="preserve">Esotropia / exotropia / hypertropia</t>
  </si>
  <si>
    <t xml:space="preserve">Squint diagnosis</t>
  </si>
  <si>
    <t xml:space="preserve">Alternating XT 25 PD</t>
  </si>
  <si>
    <t xml:space="preserve">ABR-056</t>
  </si>
  <si>
    <t xml:space="preserve">Worth four-dot test</t>
  </si>
  <si>
    <t xml:space="preserve">Orthoptics</t>
  </si>
  <si>
    <t xml:space="preserve">Fusion at near</t>
  </si>
  <si>
    <t xml:space="preserve">ABR-057</t>
  </si>
  <si>
    <t xml:space="preserve">Rx</t>
  </si>
  <si>
    <t xml:space="preserve">Prescription / treatment</t>
  </si>
  <si>
    <t xml:space="preserve">Prescription</t>
  </si>
  <si>
    <t xml:space="preserve">Rx: E/D Moxifloxacin QID × 7 d</t>
  </si>
  <si>
    <t xml:space="preserve">ABR-058</t>
  </si>
  <si>
    <t xml:space="preserve">E/D</t>
  </si>
  <si>
    <t xml:space="preserve">E/D Timolol 0.5% BD BE</t>
  </si>
  <si>
    <t xml:space="preserve">ABR-059</t>
  </si>
  <si>
    <t xml:space="preserve">E/O</t>
  </si>
  <si>
    <t xml:space="preserve">E/O Chloramphenicol HS</t>
  </si>
  <si>
    <t xml:space="preserve">ABR-060</t>
  </si>
  <si>
    <t xml:space="preserve">gtt</t>
  </si>
  <si>
    <t xml:space="preserve">Drops (guttae)</t>
  </si>
  <si>
    <t xml:space="preserve">1 gtt QID</t>
  </si>
  <si>
    <t xml:space="preserve">ABR-061</t>
  </si>
  <si>
    <t xml:space="preserve">Tab / Cap / Inj</t>
  </si>
  <si>
    <t xml:space="preserve">Tablet / capsule / injection</t>
  </si>
  <si>
    <t xml:space="preserve">Tab Acetazolamide 250 mg TID</t>
  </si>
  <si>
    <t xml:space="preserve">ABR-062</t>
  </si>
  <si>
    <t xml:space="preserve">OD (dosing)</t>
  </si>
  <si>
    <t xml:space="preserve">Once daily</t>
  </si>
  <si>
    <t xml:space="preserve">Frequency</t>
  </si>
  <si>
    <t xml:space="preserve">Avoid – ambiguous with right eye; write "once daily"</t>
  </si>
  <si>
    <t xml:space="preserve">ABR-063</t>
  </si>
  <si>
    <t xml:space="preserve">BD / BID</t>
  </si>
  <si>
    <t xml:space="preserve">Twice daily</t>
  </si>
  <si>
    <t xml:space="preserve">E/D Brimonidine BD</t>
  </si>
  <si>
    <t xml:space="preserve">ABR-064</t>
  </si>
  <si>
    <t xml:space="preserve">TID / TDS</t>
  </si>
  <si>
    <t xml:space="preserve">Three times daily</t>
  </si>
  <si>
    <t xml:space="preserve">E/D Dorzolamide TID</t>
  </si>
  <si>
    <t xml:space="preserve">ABR-065</t>
  </si>
  <si>
    <t xml:space="preserve">QID / QDS</t>
  </si>
  <si>
    <t xml:space="preserve">Four times daily</t>
  </si>
  <si>
    <t xml:space="preserve">E/D Pred Forte QID × 1 week</t>
  </si>
  <si>
    <t xml:space="preserve">ABR-066</t>
  </si>
  <si>
    <t xml:space="preserve">q1h / q2h / hourly</t>
  </si>
  <si>
    <t xml:space="preserve">Every 1 / 2 hours</t>
  </si>
  <si>
    <t xml:space="preserve">Natamycin hourly while awake</t>
  </si>
  <si>
    <t xml:space="preserve">ABR-067</t>
  </si>
  <si>
    <t xml:space="preserve">5×/day</t>
  </si>
  <si>
    <t xml:space="preserve">Five times daily</t>
  </si>
  <si>
    <t xml:space="preserve">Acyclovir E/O 5×/day</t>
  </si>
  <si>
    <t xml:space="preserve">ABR-068</t>
  </si>
  <si>
    <t xml:space="preserve">HS</t>
  </si>
  <si>
    <t xml:space="preserve">At bedtime (hora somni)</t>
  </si>
  <si>
    <t xml:space="preserve">E/D Latanoprost HS</t>
  </si>
  <si>
    <t xml:space="preserve">ABR-069</t>
  </si>
  <si>
    <t xml:space="preserve">SOS / PRN</t>
  </si>
  <si>
    <t xml:space="preserve">When required</t>
  </si>
  <si>
    <t xml:space="preserve">Tab Paracetamol SOS</t>
  </si>
  <si>
    <t xml:space="preserve">ABR-070</t>
  </si>
  <si>
    <t xml:space="preserve">Stat</t>
  </si>
  <si>
    <t xml:space="preserve">Immediately</t>
  </si>
  <si>
    <t xml:space="preserve">Inj Mannitol 20% IV stat</t>
  </si>
  <si>
    <t xml:space="preserve">ABR-071</t>
  </si>
  <si>
    <t xml:space="preserve">AC / PC</t>
  </si>
  <si>
    <t xml:space="preserve">Before / after food</t>
  </si>
  <si>
    <t xml:space="preserve">Timing</t>
  </si>
  <si>
    <t xml:space="preserve">Tab Prednisolone 40 mg PC (morning)</t>
  </si>
  <si>
    <t xml:space="preserve">ABR-072</t>
  </si>
  <si>
    <t xml:space="preserve">× d / wk</t>
  </si>
  <si>
    <t xml:space="preserve">For number of days / weeks</t>
  </si>
  <si>
    <t xml:space="preserve">Duration</t>
  </si>
  <si>
    <t xml:space="preserve">QID × 1 wk, TID × 1 wk, BD × 1 wk, OD × 1 wk (taper)</t>
  </si>
  <si>
    <t xml:space="preserve">ABR-073</t>
  </si>
  <si>
    <t xml:space="preserve">Taper</t>
  </si>
  <si>
    <t xml:space="preserve">Gradually reduce frequency</t>
  </si>
  <si>
    <t xml:space="preserve">Instruction</t>
  </si>
  <si>
    <t xml:space="preserve">Taper steroid weekly</t>
  </si>
  <si>
    <t xml:space="preserve">ABR-074</t>
  </si>
  <si>
    <t xml:space="preserve">WNL / NAD</t>
  </si>
  <si>
    <t xml:space="preserve">Within normal limits / no abnormality detected</t>
  </si>
  <si>
    <t xml:space="preserve">Findings</t>
  </si>
  <si>
    <t xml:space="preserve">Fundus WNL</t>
  </si>
  <si>
    <t xml:space="preserve">ABR-075</t>
  </si>
  <si>
    <t xml:space="preserve">Pseudophakic / Phakic / Aphakic</t>
  </si>
  <si>
    <t xml:space="preserve">With IOL / with natural lens / without lens</t>
  </si>
  <si>
    <t xml:space="preserve">Lens status</t>
  </si>
  <si>
    <t xml:space="preserve">RE pseudophakic, LE phakic</t>
  </si>
  <si>
    <t xml:space="preserve">ABR-076</t>
  </si>
  <si>
    <t xml:space="preserve">PPV / SB</t>
  </si>
  <si>
    <t xml:space="preserve">Pars plana vitrectomy / scleral buckle</t>
  </si>
  <si>
    <t xml:space="preserve">Operative</t>
  </si>
  <si>
    <t xml:space="preserve">PPV + SOI RE</t>
  </si>
  <si>
    <t xml:space="preserve">ABR-077</t>
  </si>
  <si>
    <t xml:space="preserve">SOI / SOR</t>
  </si>
  <si>
    <t xml:space="preserve">Silicone oil injection / removal</t>
  </si>
  <si>
    <t xml:space="preserve">SOR planned after 3 months</t>
  </si>
  <si>
    <t xml:space="preserve">ABR-078</t>
  </si>
  <si>
    <t xml:space="preserve">IVI</t>
  </si>
  <si>
    <t xml:space="preserve">Procedure</t>
  </si>
  <si>
    <t xml:space="preserve">IVI Ranibizumab RE (3rd dose)</t>
  </si>
  <si>
    <t xml:space="preserve">ABR-079</t>
  </si>
  <si>
    <t xml:space="preserve">PRP LE – sitting 2 of 3</t>
  </si>
  <si>
    <t xml:space="preserve">ABR-080</t>
  </si>
  <si>
    <t xml:space="preserve">YAG PI / YAG cap</t>
  </si>
  <si>
    <t xml:space="preserve">Nd:YAG peripheral iridotomy / capsulotomy</t>
  </si>
  <si>
    <t xml:space="preserve">YAG PI BE done</t>
  </si>
  <si>
    <t xml:space="preserve">ABR-081</t>
  </si>
  <si>
    <t xml:space="preserve">F/U / R/V</t>
  </si>
  <si>
    <t xml:space="preserve">Follow-up / review</t>
  </si>
  <si>
    <t xml:space="preserve">Plan</t>
  </si>
  <si>
    <t xml:space="preserve">R/V after 1 week with IOP check</t>
  </si>
  <si>
    <t xml:space="preserve">ABR-082</t>
  </si>
  <si>
    <t xml:space="preserve">RTC</t>
  </si>
  <si>
    <t xml:space="preserve">Return to clinic</t>
  </si>
  <si>
    <t xml:space="preserve">RTC SOS if pain / redness</t>
  </si>
  <si>
    <t xml:space="preserve">ABR-083</t>
  </si>
  <si>
    <t xml:space="preserve">AL</t>
  </si>
  <si>
    <t xml:space="preserve">Axial length</t>
  </si>
  <si>
    <t xml:space="preserve">Biometry</t>
  </si>
  <si>
    <t xml:space="preserve">AL 23.45 mm</t>
  </si>
  <si>
    <t xml:space="preserve">ABR-084</t>
  </si>
  <si>
    <t xml:space="preserve">K1 / K2</t>
  </si>
  <si>
    <t xml:space="preserve">Keratometry readings (flat / steep)</t>
  </si>
  <si>
    <t xml:space="preserve">K1 43.25 D @ 180, K2 44.50 D @ 90</t>
  </si>
  <si>
    <t xml:space="preserve">ABR-085</t>
  </si>
  <si>
    <t xml:space="preserve">ECD</t>
  </si>
  <si>
    <t xml:space="preserve">Endothelial cell density</t>
  </si>
  <si>
    <t xml:space="preserve">Specular</t>
  </si>
  <si>
    <t xml:space="preserve">ECD 2450 cells/mm²</t>
  </si>
  <si>
    <t xml:space="preserve">ABR-086</t>
  </si>
  <si>
    <t xml:space="preserve">CCT</t>
  </si>
  <si>
    <t xml:space="preserve">Central corneal thickness</t>
  </si>
  <si>
    <t xml:space="preserve">CCT 530 µm</t>
  </si>
  <si>
    <t xml:space="preserve">ABR-087</t>
  </si>
  <si>
    <t xml:space="preserve">TBUT</t>
  </si>
  <si>
    <t xml:space="preserve">TBUT 5 sec</t>
  </si>
  <si>
    <t xml:space="preserve">ABR-088</t>
  </si>
  <si>
    <t xml:space="preserve">Mydriasis / Miosis</t>
  </si>
  <si>
    <t xml:space="preserve">Dilated pupil / constricted pupil</t>
  </si>
  <si>
    <t xml:space="preserve">Good mydriasis achieved</t>
  </si>
  <si>
    <t xml:space="preserve">ABR-089</t>
  </si>
  <si>
    <t xml:space="preserve">Cycloplegia</t>
  </si>
  <si>
    <t xml:space="preserve">Paralysis of accommodation</t>
  </si>
  <si>
    <t xml:space="preserve">Under cycloplegia: +3.00 DS BE</t>
  </si>
  <si>
    <t xml:space="preserve">Instruction / Phrase Used with Patient</t>
  </si>
  <si>
    <t xml:space="preserve">Explanation / Why</t>
  </si>
  <si>
    <t xml:space="preserve">CNS-001</t>
  </si>
  <si>
    <t xml:space="preserve">Eye drop technique</t>
  </si>
  <si>
    <t xml:space="preserve">"Tilt head back, pull lower lid down, put one drop, close eyes gently for 1–2 minutes."</t>
  </si>
  <si>
    <t xml:space="preserve">One drop is enough; extra drops spill out</t>
  </si>
  <si>
    <t xml:space="preserve">CNS-002</t>
  </si>
  <si>
    <t xml:space="preserve">"Press the inner corner of the eye (near the nose) for 1–2 minutes after the drop."</t>
  </si>
  <si>
    <t xml:space="preserve">Punctal occlusion – reduces systemic absorption (important for timolol) and improves effect</t>
  </si>
  <si>
    <t xml:space="preserve">CNS-003</t>
  </si>
  <si>
    <t xml:space="preserve">"Keep a 5-minute gap between two different eye drops."</t>
  </si>
  <si>
    <t xml:space="preserve">Prevents washing out of the first drop</t>
  </si>
  <si>
    <t xml:space="preserve">CNS-004</t>
  </si>
  <si>
    <t xml:space="preserve">"Use drops before ointment; apply ointment last / at bedtime."</t>
  </si>
  <si>
    <t xml:space="preserve">Ointment blocks absorption of drops</t>
  </si>
  <si>
    <t xml:space="preserve">CNS-005</t>
  </si>
  <si>
    <t xml:space="preserve">"Shake the bottle well before use."</t>
  </si>
  <si>
    <t xml:space="preserve">For suspensions – prednisolone acetate, loteprednol, brinzolamide, natamycin</t>
  </si>
  <si>
    <t xml:space="preserve">CNS-006</t>
  </si>
  <si>
    <t xml:space="preserve">"Do not touch the bottle tip to the eye or fingers."</t>
  </si>
  <si>
    <t xml:space="preserve">Prevents contamination</t>
  </si>
  <si>
    <t xml:space="preserve">CNS-007</t>
  </si>
  <si>
    <t xml:space="preserve">"Discard the bottle one month after opening."</t>
  </si>
  <si>
    <t xml:space="preserve">Contamination risk (unless labelled otherwise)</t>
  </si>
  <si>
    <t xml:space="preserve">CNS-008</t>
  </si>
  <si>
    <t xml:space="preserve">"Keep latanoprost bottle in the fridge before opening."</t>
  </si>
  <si>
    <t xml:space="preserve">Storage requirement for some PG analogues</t>
  </si>
  <si>
    <t xml:space="preserve">CNS-009</t>
  </si>
  <si>
    <t xml:space="preserve">"Remove contact lenses before putting drops; reinsert after 15 minutes."</t>
  </si>
  <si>
    <t xml:space="preserve">Preservatives absorbed by soft lenses</t>
  </si>
  <si>
    <t xml:space="preserve">CNS-010</t>
  </si>
  <si>
    <t xml:space="preserve">Steroid drops</t>
  </si>
  <si>
    <t xml:space="preserve">"Do not stop the steroid drops suddenly; reduce as per the taper chart."</t>
  </si>
  <si>
    <t xml:space="preserve">Prevents rebound inflammation</t>
  </si>
  <si>
    <t xml:space="preserve">CNS-011</t>
  </si>
  <si>
    <t xml:space="preserve">"Do not use steroid drops without doctor's advice; they can cause glaucoma and cataract."</t>
  </si>
  <si>
    <t xml:space="preserve">Common misuse of OTC steroid drops in India</t>
  </si>
  <si>
    <t xml:space="preserve">CNS-012</t>
  </si>
  <si>
    <t xml:space="preserve">"Glaucoma drops are lifelong; use daily even if you feel fine."</t>
  </si>
  <si>
    <t xml:space="preserve">Glaucoma is silent; adherence prevents blindness</t>
  </si>
  <si>
    <t xml:space="preserve">CNS-013</t>
  </si>
  <si>
    <t xml:space="preserve">"Damage already done cannot be reversed; treatment prevents further loss."</t>
  </si>
  <si>
    <t xml:space="preserve">Sets expectations</t>
  </si>
  <si>
    <t xml:space="preserve">CNS-014</t>
  </si>
  <si>
    <t xml:space="preserve">"Get your brothers, sisters and children checked for glaucoma."</t>
  </si>
  <si>
    <t xml:space="preserve">Family history is a risk factor</t>
  </si>
  <si>
    <t xml:space="preserve">CNS-015</t>
  </si>
  <si>
    <t xml:space="preserve">"Come for IOP check and field test every 3–6 months."</t>
  </si>
  <si>
    <t xml:space="preserve">Monitoring progression</t>
  </si>
  <si>
    <t xml:space="preserve">CNS-016</t>
  </si>
  <si>
    <t xml:space="preserve">"Timolol can slow heart rate and trigger asthma – tell us if you have breathing problems."</t>
  </si>
  <si>
    <t xml:space="preserve">Systemic side effects</t>
  </si>
  <si>
    <t xml:space="preserve">CNS-017</t>
  </si>
  <si>
    <t xml:space="preserve">"Wash hands often; do not share towels, pillows or kajal."</t>
  </si>
  <si>
    <t xml:space="preserve">Viral conjunctivitis is highly contagious</t>
  </si>
  <si>
    <t xml:space="preserve">CNS-018</t>
  </si>
  <si>
    <t xml:space="preserve">"Avoid school / office for 5–7 days until redness and watering settle."</t>
  </si>
  <si>
    <t xml:space="preserve">Limits spread</t>
  </si>
  <si>
    <t xml:space="preserve">CNS-019</t>
  </si>
  <si>
    <t xml:space="preserve">"Cold compress helps; do not use steroid drops on your own."</t>
  </si>
  <si>
    <t xml:space="preserve">Symptomatic relief; avoid misuse</t>
  </si>
  <si>
    <t xml:space="preserve">CNS-020</t>
  </si>
  <si>
    <t xml:space="preserve">"Dark glasses are for comfort; they do not stop spread."</t>
  </si>
  <si>
    <t xml:space="preserve">Myth clarification</t>
  </si>
  <si>
    <t xml:space="preserve">CNS-021</t>
  </si>
  <si>
    <t xml:space="preserve">"Do not rub your eyes; use cold compress when itchy."</t>
  </si>
  <si>
    <t xml:space="preserve">Rubbing worsens allergy and can cause keratoconus</t>
  </si>
  <si>
    <t xml:space="preserve">CNS-022</t>
  </si>
  <si>
    <t xml:space="preserve">"Wear sunglasses / cap outdoors and avoid dust."</t>
  </si>
  <si>
    <t xml:space="preserve">Allergen avoidance</t>
  </si>
  <si>
    <t xml:space="preserve">CNS-023</t>
  </si>
  <si>
    <t xml:space="preserve">Dry eye / screen use</t>
  </si>
  <si>
    <t xml:space="preserve">"Follow the 20-20-20 rule: every 20 minutes, look 20 feet away for 20 seconds."</t>
  </si>
  <si>
    <t xml:space="preserve">Reduces digital eye strain</t>
  </si>
  <si>
    <t xml:space="preserve">CNS-024</t>
  </si>
  <si>
    <t xml:space="preserve">"Blink fully and often; keep the screen slightly below eye level."</t>
  </si>
  <si>
    <t xml:space="preserve">Reduces evaporation</t>
  </si>
  <si>
    <t xml:space="preserve">CNS-025</t>
  </si>
  <si>
    <t xml:space="preserve">"Use warm compress and clean lid margins twice daily."</t>
  </si>
  <si>
    <t xml:space="preserve">Treats MGD / blepharitis</t>
  </si>
  <si>
    <t xml:space="preserve">CNS-026</t>
  </si>
  <si>
    <t xml:space="preserve">Cataract – pre-op</t>
  </si>
  <si>
    <t xml:space="preserve">"Cataract is not a skin (jhilli) on the eye; the natural lens is replaced with an artificial lens."</t>
  </si>
  <si>
    <t xml:space="preserve">Common misconception</t>
  </si>
  <si>
    <t xml:space="preserve">CNS-027</t>
  </si>
  <si>
    <t xml:space="preserve">"Surgery takes 15–20 minutes under local anaesthesia; you go home the same day."</t>
  </si>
  <si>
    <t xml:space="preserve">Reassurance</t>
  </si>
  <si>
    <t xml:space="preserve">CNS-028</t>
  </si>
  <si>
    <t xml:space="preserve">"Continue BP / sugar medicines; stop or adjust blood thinners only if your physician advises."</t>
  </si>
  <si>
    <t xml:space="preserve">Pre-op preparation</t>
  </si>
  <si>
    <t xml:space="preserve">CNS-029</t>
  </si>
  <si>
    <t xml:space="preserve">"Start the antibiotic drops 1–3 days before surgery as prescribed."</t>
  </si>
  <si>
    <t xml:space="preserve">Prophylaxis</t>
  </si>
  <si>
    <t xml:space="preserve">CNS-030</t>
  </si>
  <si>
    <t xml:space="preserve">Cataract – IOL counselling</t>
  </si>
  <si>
    <t xml:space="preserve">"With a monofocal lens you will need reading glasses; multifocal / EDOF lenses reduce dependence on glasses."</t>
  </si>
  <si>
    <t xml:space="preserve">IOL choice and cost difference</t>
  </si>
  <si>
    <t xml:space="preserve">CNS-031</t>
  </si>
  <si>
    <t xml:space="preserve">"A toric lens corrects your cylindrical power."</t>
  </si>
  <si>
    <t xml:space="preserve">For astigmatism</t>
  </si>
  <si>
    <t xml:space="preserve">CNS-032</t>
  </si>
  <si>
    <t xml:space="preserve">"Lens packages differ by lens type and material; insurance / cashless may cover part."</t>
  </si>
  <si>
    <t xml:space="preserve">Billing / package counselling</t>
  </si>
  <si>
    <t xml:space="preserve">CNS-033</t>
  </si>
  <si>
    <t xml:space="preserve">Cataract – post-op</t>
  </si>
  <si>
    <t xml:space="preserve">"Do not rub or press the eye; wear the shield at night for 1–2 weeks."</t>
  </si>
  <si>
    <t xml:space="preserve">Wound protection</t>
  </si>
  <si>
    <t xml:space="preserve">CNS-034</t>
  </si>
  <si>
    <t xml:space="preserve">"Avoid water entering the eye, head bath and face wash for 7 days; wipe with clean cloth."</t>
  </si>
  <si>
    <t xml:space="preserve">Infection prevention</t>
  </si>
  <si>
    <t xml:space="preserve">CNS-035</t>
  </si>
  <si>
    <t xml:space="preserve">"Avoid heavy lifting, bending and dusty places for 2 weeks."</t>
  </si>
  <si>
    <t xml:space="preserve">CNS-036</t>
  </si>
  <si>
    <t xml:space="preserve">"You can watch TV, walk and read; wear dark glasses outdoors."</t>
  </si>
  <si>
    <t xml:space="preserve">Normal activities allowed</t>
  </si>
  <si>
    <t xml:space="preserve">CNS-037</t>
  </si>
  <si>
    <t xml:space="preserve">"Come immediately if pain, redness or sudden drop in vision."</t>
  </si>
  <si>
    <t xml:space="preserve">Warning signs of endophthalmitis</t>
  </si>
  <si>
    <t xml:space="preserve">CNS-038</t>
  </si>
  <si>
    <t xml:space="preserve">"New glasses will be prescribed after 3–4 weeks."</t>
  </si>
  <si>
    <t xml:space="preserve">Refraction stabilises</t>
  </si>
  <si>
    <t xml:space="preserve">CNS-039</t>
  </si>
  <si>
    <t xml:space="preserve">YAG capsulotomy</t>
  </si>
  <si>
    <t xml:space="preserve">"It is a painless laser in OPD; vision improves in a few hours; you may see floaters."</t>
  </si>
  <si>
    <t xml:space="preserve">Expectations</t>
  </si>
  <si>
    <t xml:space="preserve">CNS-040</t>
  </si>
  <si>
    <t xml:space="preserve">"The injection is given in OT with numbing drops; you may feel pressure. Mild redness is normal."</t>
  </si>
  <si>
    <t xml:space="preserve">CNS-041</t>
  </si>
  <si>
    <t xml:space="preserve">"Usually 3 monthly injections are needed, then as per OCT."</t>
  </si>
  <si>
    <t xml:space="preserve">Treatment course</t>
  </si>
  <si>
    <t xml:space="preserve">CNS-042</t>
  </si>
  <si>
    <t xml:space="preserve">"Report pain, increasing redness or blur after injection immediately."</t>
  </si>
  <si>
    <t xml:space="preserve">Endophthalmitis warning</t>
  </si>
  <si>
    <t xml:space="preserve">CNS-043</t>
  </si>
  <si>
    <t xml:space="preserve">Retina surgery with gas</t>
  </si>
  <si>
    <t xml:space="preserve">"Keep face-down / head position as instructed for the advised days."</t>
  </si>
  <si>
    <t xml:space="preserve">Gas tamponade positioning</t>
  </si>
  <si>
    <t xml:space="preserve">CNS-044</t>
  </si>
  <si>
    <t xml:space="preserve">"Do not travel by air or to hill stations until the gas bubble is gone."</t>
  </si>
  <si>
    <t xml:space="preserve">Gas expansion risk</t>
  </si>
  <si>
    <t xml:space="preserve">CNS-045</t>
  </si>
  <si>
    <t xml:space="preserve">Diabetic eye</t>
  </si>
  <si>
    <t xml:space="preserve">"Get a dilated retina check at least once a year even if vision is good."</t>
  </si>
  <si>
    <t xml:space="preserve">DR screening</t>
  </si>
  <si>
    <t xml:space="preserve">CNS-046</t>
  </si>
  <si>
    <t xml:space="preserve">"Keep sugar, BP and cholesterol under control."</t>
  </si>
  <si>
    <t xml:space="preserve">Slows DR progression</t>
  </si>
  <si>
    <t xml:space="preserve">CNS-047</t>
  </si>
  <si>
    <t xml:space="preserve">Dilation</t>
  </si>
  <si>
    <t xml:space="preserve">"Your vision will be blurry and sensitive to light for 4–6 hours; do not drive."</t>
  </si>
  <si>
    <t xml:space="preserve">After tropicamide / phenylephrine</t>
  </si>
  <si>
    <t xml:space="preserve">CNS-048</t>
  </si>
  <si>
    <t xml:space="preserve">"Glasses should be worn full-time; the number may change as the child grows."</t>
  </si>
  <si>
    <t xml:space="preserve">Compliance</t>
  </si>
  <si>
    <t xml:space="preserve">CNS-049</t>
  </si>
  <si>
    <t xml:space="preserve">"Patch the good eye for the advised hours every day; results depend on regular patching."</t>
  </si>
  <si>
    <t xml:space="preserve">Occlusion compliance</t>
  </si>
  <si>
    <t xml:space="preserve">CNS-050</t>
  </si>
  <si>
    <t xml:space="preserve">Myopia control</t>
  </si>
  <si>
    <t xml:space="preserve">"Spend at least 2 hours outdoors daily and reduce mobile / screen time."</t>
  </si>
  <si>
    <t xml:space="preserve">Slows myopia progression</t>
  </si>
  <si>
    <t xml:space="preserve">CNS-051</t>
  </si>
  <si>
    <t xml:space="preserve">"Wash the eye immediately with plenty of clean water for at least 15–30 minutes and come to hospital."</t>
  </si>
  <si>
    <t xml:space="preserve">First aid</t>
  </si>
  <si>
    <t xml:space="preserve">CNS-052</t>
  </si>
  <si>
    <t xml:space="preserve">"Do not rub; do not try to remove with a cloth or needle at home."</t>
  </si>
  <si>
    <t xml:space="preserve">Avoid corneal damage</t>
  </si>
  <si>
    <t xml:space="preserve">CNS-053</t>
  </si>
  <si>
    <t xml:space="preserve">Contact lens</t>
  </si>
  <si>
    <t xml:space="preserve">"Never sleep or swim with contact lenses; never use tap water on them."</t>
  </si>
  <si>
    <t xml:space="preserve">Prevents keratitis, Acanthamoeba</t>
  </si>
  <si>
    <t xml:space="preserve">CNS-054</t>
  </si>
  <si>
    <t xml:space="preserve">"Bring all your eye drops and old prescriptions on the next visit."</t>
  </si>
  <si>
    <t xml:space="preserve">Medication reconciliation</t>
  </si>
  <si>
    <t xml:space="preserve">Region</t>
  </si>
  <si>
    <t xml:space="preserve">Function</t>
  </si>
  <si>
    <t xml:space="preserve">Related Conditions</t>
  </si>
  <si>
    <t xml:space="preserve">ANT-001</t>
  </si>
  <si>
    <t xml:space="preserve">Anterior segment</t>
  </si>
  <si>
    <t xml:space="preserve">Clear front window; main focusing surface (~43 D)</t>
  </si>
  <si>
    <t xml:space="preserve">Keratitis, ulcer, keratoconus, abrasion, dystrophy</t>
  </si>
  <si>
    <t xml:space="preserve">ANT-002</t>
  </si>
  <si>
    <t xml:space="preserve">Corneal epithelium</t>
  </si>
  <si>
    <t xml:space="preserve">Outer protective layer; regenerates quickly</t>
  </si>
  <si>
    <t xml:space="preserve">Abrasion, PEE, dendritic ulcer</t>
  </si>
  <si>
    <t xml:space="preserve">ANT-003</t>
  </si>
  <si>
    <t xml:space="preserve">Bowman's layer</t>
  </si>
  <si>
    <t xml:space="preserve">Acellular layer beneath epithelium</t>
  </si>
  <si>
    <t xml:space="preserve">Scarring</t>
  </si>
  <si>
    <t xml:space="preserve">ANT-004</t>
  </si>
  <si>
    <t xml:space="preserve">Corneal stroma</t>
  </si>
  <si>
    <t xml:space="preserve">Thick collagen layer, 90% of thickness</t>
  </si>
  <si>
    <t xml:space="preserve">Scars, fungal ulcer, keratoconus</t>
  </si>
  <si>
    <t xml:space="preserve">ANT-005</t>
  </si>
  <si>
    <t xml:space="preserve">Descemet's membrane</t>
  </si>
  <si>
    <t xml:space="preserve">Basement membrane of endothelium</t>
  </si>
  <si>
    <t xml:space="preserve">DM folds, DMEK</t>
  </si>
  <si>
    <t xml:space="preserve">ANT-006</t>
  </si>
  <si>
    <t xml:space="preserve">Pumps fluid to keep cornea clear; does not regenerate</t>
  </si>
  <si>
    <t xml:space="preserve">Fuchs, PBK, corneal oedema</t>
  </si>
  <si>
    <t xml:space="preserve">ANT-007</t>
  </si>
  <si>
    <t xml:space="preserve">Junction of cornea and sclera; stem cells</t>
  </si>
  <si>
    <t xml:space="preserve">VKC (Trantas dots), OSSN, limbal stem cell deficiency</t>
  </si>
  <si>
    <t xml:space="preserve">ANT-008</t>
  </si>
  <si>
    <t xml:space="preserve">Conjunctiva (bulbar / palpebral / fornix)</t>
  </si>
  <si>
    <t xml:space="preserve">Ocular surface</t>
  </si>
  <si>
    <t xml:space="preserve">Thin membrane covering sclera and inner lids</t>
  </si>
  <si>
    <t xml:space="preserve">Conjunctivitis, pterygium, SCH</t>
  </si>
  <si>
    <t xml:space="preserve">ANT-009</t>
  </si>
  <si>
    <t xml:space="preserve">Outer coat</t>
  </si>
  <si>
    <t xml:space="preserve">White tough outer wall</t>
  </si>
  <si>
    <t xml:space="preserve">Scleritis, scleral thinning</t>
  </si>
  <si>
    <t xml:space="preserve">ANT-010</t>
  </si>
  <si>
    <t xml:space="preserve">Episclera</t>
  </si>
  <si>
    <t xml:space="preserve">Thin vascular tissue over sclera</t>
  </si>
  <si>
    <t xml:space="preserve">ANT-011</t>
  </si>
  <si>
    <t xml:space="preserve">Tear film (lipid / aqueous / mucin)</t>
  </si>
  <si>
    <t xml:space="preserve">Lubricates and nourishes cornea</t>
  </si>
  <si>
    <t xml:space="preserve">ANT-012</t>
  </si>
  <si>
    <t xml:space="preserve">Aqueous-filled space between cornea and iris</t>
  </si>
  <si>
    <t xml:space="preserve">Hyphaema, hypopyon, cells / flare</t>
  </si>
  <si>
    <t xml:space="preserve">ANT-013</t>
  </si>
  <si>
    <t xml:space="preserve">Angle (iridocorneal)</t>
  </si>
  <si>
    <t xml:space="preserve">Drainage area of aqueous</t>
  </si>
  <si>
    <t xml:space="preserve">Angle-closure glaucoma</t>
  </si>
  <si>
    <t xml:space="preserve">ANT-014</t>
  </si>
  <si>
    <t xml:space="preserve">Trabecular meshwork</t>
  </si>
  <si>
    <t xml:space="preserve">Main drainage pathway of aqueous</t>
  </si>
  <si>
    <t xml:space="preserve">POAG, SLT, pigmentary glaucoma</t>
  </si>
  <si>
    <t xml:space="preserve">ANT-015</t>
  </si>
  <si>
    <t xml:space="preserve">Schlemm's canal</t>
  </si>
  <si>
    <t xml:space="preserve">Collects aqueous to episcleral veins</t>
  </si>
  <si>
    <t xml:space="preserve">MIGS</t>
  </si>
  <si>
    <t xml:space="preserve">ANT-016</t>
  </si>
  <si>
    <t xml:space="preserve">Coloured diaphragm controlling pupil size</t>
  </si>
  <si>
    <t xml:space="preserve">Iritis, rubeosis, coloboma</t>
  </si>
  <si>
    <t xml:space="preserve">ANT-017</t>
  </si>
  <si>
    <t xml:space="preserve">Opening regulating light entry</t>
  </si>
  <si>
    <t xml:space="preserve">RAPD, anisocoria, leukocoria</t>
  </si>
  <si>
    <t xml:space="preserve">ANT-018</t>
  </si>
  <si>
    <t xml:space="preserve">Ciliary body</t>
  </si>
  <si>
    <t xml:space="preserve">Produces aqueous; controls accommodation</t>
  </si>
  <si>
    <t xml:space="preserve">Uveitis, CPC target</t>
  </si>
  <si>
    <t xml:space="preserve">ANT-019</t>
  </si>
  <si>
    <t xml:space="preserve">Zonules</t>
  </si>
  <si>
    <t xml:space="preserve">Lens support</t>
  </si>
  <si>
    <t xml:space="preserve">Suspensory ligaments holding lens</t>
  </si>
  <si>
    <t xml:space="preserve">Subluxation, PXF</t>
  </si>
  <si>
    <t xml:space="preserve">ANT-020</t>
  </si>
  <si>
    <t xml:space="preserve">Crystalline lens</t>
  </si>
  <si>
    <t xml:space="preserve">Focuses light for near and far</t>
  </si>
  <si>
    <t xml:space="preserve">Cataract, presbyopia</t>
  </si>
  <si>
    <t xml:space="preserve">ANT-021</t>
  </si>
  <si>
    <t xml:space="preserve">Lens capsule (anterior / posterior)</t>
  </si>
  <si>
    <t xml:space="preserve">Bag enclosing lens; holds IOL after surgery</t>
  </si>
  <si>
    <t xml:space="preserve">PCO, capsular rupture</t>
  </si>
  <si>
    <t xml:space="preserve">ANT-022</t>
  </si>
  <si>
    <t xml:space="preserve">Posterior chamber</t>
  </si>
  <si>
    <t xml:space="preserve">Space between iris and lens</t>
  </si>
  <si>
    <t xml:space="preserve">PCIOL placement</t>
  </si>
  <si>
    <t xml:space="preserve">ANT-023</t>
  </si>
  <si>
    <t xml:space="preserve">Aqueous humour</t>
  </si>
  <si>
    <t xml:space="preserve">Fluid maintaining IOP and nourishment</t>
  </si>
  <si>
    <t xml:space="preserve">ANT-024</t>
  </si>
  <si>
    <t xml:space="preserve">Posterior segment</t>
  </si>
  <si>
    <t xml:space="preserve">Clear gel filling back of eye</t>
  </si>
  <si>
    <t xml:space="preserve">Floaters, PVD, VH</t>
  </si>
  <si>
    <t xml:space="preserve">ANT-025</t>
  </si>
  <si>
    <t xml:space="preserve">Light-sensitive layer converting light to signals</t>
  </si>
  <si>
    <t xml:space="preserve">RD, DR, RP, vein occlusion</t>
  </si>
  <si>
    <t xml:space="preserve">ANT-026</t>
  </si>
  <si>
    <t xml:space="preserve">Central retina for detailed vision</t>
  </si>
  <si>
    <t xml:space="preserve">ARMD, DME, CSCR, macular hole</t>
  </si>
  <si>
    <t xml:space="preserve">ANT-027</t>
  </si>
  <si>
    <t xml:space="preserve">Fovea</t>
  </si>
  <si>
    <t xml:space="preserve">Centre of macula; sharpest vision</t>
  </si>
  <si>
    <t xml:space="preserve">Macular hole, cherry-red spot</t>
  </si>
  <si>
    <t xml:space="preserve">ANT-028</t>
  </si>
  <si>
    <t xml:space="preserve">Photoreceptors (rods and cones)</t>
  </si>
  <si>
    <t xml:space="preserve">Rods: dim light; cones: colour and detail</t>
  </si>
  <si>
    <t xml:space="preserve">RP (rods), colour blindness (cones)</t>
  </si>
  <si>
    <t xml:space="preserve">ANT-029</t>
  </si>
  <si>
    <t xml:space="preserve">Retinal pigment epithelium</t>
  </si>
  <si>
    <t xml:space="preserve">Supports photoreceptors</t>
  </si>
  <si>
    <t xml:space="preserve">ARMD, CSCR</t>
  </si>
  <si>
    <t xml:space="preserve">ANT-030</t>
  </si>
  <si>
    <t xml:space="preserve">Choroid</t>
  </si>
  <si>
    <t xml:space="preserve">Vascular layer nourishing outer retina</t>
  </si>
  <si>
    <t xml:space="preserve">Choroiditis, CNVM, melanoma</t>
  </si>
  <si>
    <t xml:space="preserve">ANT-031</t>
  </si>
  <si>
    <t xml:space="preserve">Optic disc / optic nerve head</t>
  </si>
  <si>
    <t xml:space="preserve">Where nerve fibres exit the eye; blind spot</t>
  </si>
  <si>
    <t xml:space="preserve">Glaucomatous cupping, papilloedema, atrophy</t>
  </si>
  <si>
    <t xml:space="preserve">ANT-032</t>
  </si>
  <si>
    <t xml:space="preserve">Optic nerve</t>
  </si>
  <si>
    <t xml:space="preserve">Visual pathway</t>
  </si>
  <si>
    <t xml:space="preserve">Carries visual signals to brain</t>
  </si>
  <si>
    <t xml:space="preserve">Optic neuritis, AION, atrophy</t>
  </si>
  <si>
    <t xml:space="preserve">ANT-033</t>
  </si>
  <si>
    <t xml:space="preserve">Optic chiasma</t>
  </si>
  <si>
    <t xml:space="preserve">Crossing of nasal fibres</t>
  </si>
  <si>
    <t xml:space="preserve">Bitemporal hemianopia (pituitary tumour)</t>
  </si>
  <si>
    <t xml:space="preserve">ANT-034</t>
  </si>
  <si>
    <t xml:space="preserve">Central retinal artery and vein</t>
  </si>
  <si>
    <t xml:space="preserve">Retinal vessels</t>
  </si>
  <si>
    <t xml:space="preserve">Blood supply / drainage of inner retina</t>
  </si>
  <si>
    <t xml:space="preserve">CRAO, CRVO</t>
  </si>
  <si>
    <t xml:space="preserve">ANT-035</t>
  </si>
  <si>
    <t xml:space="preserve">Upper and lower eyelids</t>
  </si>
  <si>
    <t xml:space="preserve">Adnexa</t>
  </si>
  <si>
    <t xml:space="preserve">Protect eye, spread tears</t>
  </si>
  <si>
    <t xml:space="preserve">Ptosis, entropion, ectropion, stye</t>
  </si>
  <si>
    <t xml:space="preserve">ANT-036</t>
  </si>
  <si>
    <t xml:space="preserve">Tarsal plate</t>
  </si>
  <si>
    <t xml:space="preserve">Firm framework of lid; contains meibomian glands</t>
  </si>
  <si>
    <t xml:space="preserve">ANT-037</t>
  </si>
  <si>
    <t xml:space="preserve">Meibomian glands</t>
  </si>
  <si>
    <t xml:space="preserve">Secrete oily layer of tear film</t>
  </si>
  <si>
    <t xml:space="preserve">MGD, chalazion</t>
  </si>
  <si>
    <t xml:space="preserve">ANT-038</t>
  </si>
  <si>
    <t xml:space="preserve">Glands of Zeis and Moll</t>
  </si>
  <si>
    <t xml:space="preserve">Glands at lash roots</t>
  </si>
  <si>
    <t xml:space="preserve">ANT-039</t>
  </si>
  <si>
    <t xml:space="preserve">Eyelashes (cilia)</t>
  </si>
  <si>
    <t xml:space="preserve">Protect eye from particles</t>
  </si>
  <si>
    <t xml:space="preserve">Trichiasis, madarosis</t>
  </si>
  <si>
    <t xml:space="preserve">ANT-040</t>
  </si>
  <si>
    <t xml:space="preserve">Levator palpebrae superioris</t>
  </si>
  <si>
    <t xml:space="preserve">Eyelid muscle</t>
  </si>
  <si>
    <t xml:space="preserve">Elevates upper lid</t>
  </si>
  <si>
    <t xml:space="preserve">ANT-041</t>
  </si>
  <si>
    <t xml:space="preserve">Orbicularis oculi</t>
  </si>
  <si>
    <t xml:space="preserve">Closes eyelids</t>
  </si>
  <si>
    <t xml:space="preserve">Lagophthalmos (Bell's palsy), blepharospasm</t>
  </si>
  <si>
    <t xml:space="preserve">ANT-042</t>
  </si>
  <si>
    <t xml:space="preserve">Lacrimal gland</t>
  </si>
  <si>
    <t xml:space="preserve">Lacrimal system</t>
  </si>
  <si>
    <t xml:space="preserve">Produces tears</t>
  </si>
  <si>
    <t xml:space="preserve">Dacryoadenitis, dry eye</t>
  </si>
  <si>
    <t xml:space="preserve">ANT-043</t>
  </si>
  <si>
    <t xml:space="preserve">Puncta and canaliculi</t>
  </si>
  <si>
    <t xml:space="preserve">Drain tears from eye</t>
  </si>
  <si>
    <t xml:space="preserve">Punctal stenosis, plugs</t>
  </si>
  <si>
    <t xml:space="preserve">ANT-044</t>
  </si>
  <si>
    <t xml:space="preserve">Lacrimal sac</t>
  </si>
  <si>
    <t xml:space="preserve">Collects tears before duct</t>
  </si>
  <si>
    <t xml:space="preserve">Dacryocystitis</t>
  </si>
  <si>
    <t xml:space="preserve">ANT-045</t>
  </si>
  <si>
    <t xml:space="preserve">Nasolacrimal duct</t>
  </si>
  <si>
    <t xml:space="preserve">Carries tears into nose</t>
  </si>
  <si>
    <t xml:space="preserve">NLDO, DCR</t>
  </si>
  <si>
    <t xml:space="preserve">ANT-046</t>
  </si>
  <si>
    <t xml:space="preserve">Extraocular muscles (4 recti, 2 obliques)</t>
  </si>
  <si>
    <t xml:space="preserve">Move the eye</t>
  </si>
  <si>
    <t xml:space="preserve">Squint, nerve palsies, TED</t>
  </si>
  <si>
    <t xml:space="preserve">ANT-047</t>
  </si>
  <si>
    <t xml:space="preserve">Bony cavity housing the eye</t>
  </si>
  <si>
    <t xml:space="preserve">Orbital cellulitis, fracture, TED</t>
  </si>
  <si>
    <t xml:space="preserve">ANT-048</t>
  </si>
  <si>
    <t xml:space="preserve">Cranial nerves III, IV, VI</t>
  </si>
  <si>
    <t xml:space="preserve">Neuro</t>
  </si>
  <si>
    <t xml:space="preserve">Control eye movements</t>
  </si>
  <si>
    <t xml:space="preserve">Nerve palsies, diplopia</t>
  </si>
  <si>
    <t xml:space="preserve">ANT-049</t>
  </si>
  <si>
    <t xml:space="preserve">Trigeminal nerve (V1)</t>
  </si>
  <si>
    <t xml:space="preserve">Corneal and forehead sensation</t>
  </si>
  <si>
    <t xml:space="preserve">HZO, neurotrophic keratitis</t>
  </si>
  <si>
    <t xml:space="preserve">ANT-050</t>
  </si>
  <si>
    <t xml:space="preserve">Facial nerve (VII)</t>
  </si>
  <si>
    <t xml:space="preserve">Supplies orbicularis (lid closure)</t>
  </si>
  <si>
    <t xml:space="preserve">Bell's palsy, exposure keratopathy</t>
  </si>
  <si>
    <t xml:space="preserve">Scenario</t>
  </si>
  <si>
    <t xml:space="preserve">Typical Chief Complaint (Patient)</t>
  </si>
  <si>
    <t xml:space="preserve">Key History Questions (Doctor)</t>
  </si>
  <si>
    <t xml:space="preserve">Examination / Tests</t>
  </si>
  <si>
    <t xml:space="preserve">Diagnosis Written As</t>
  </si>
  <si>
    <t xml:space="preserve">Sample Prescription / Plan</t>
  </si>
  <si>
    <t xml:space="preserve">Advice / Follow-up</t>
  </si>
  <si>
    <t xml:space="preserve">SCN-001</t>
  </si>
  <si>
    <t xml:space="preserve">Senile cataract</t>
  </si>
  <si>
    <t xml:space="preserve">"Doctor, everything looks hazy for the last one year; glasses aren't helping."</t>
  </si>
  <si>
    <t xml:space="preserve">Duration, glare at night, frequent power change, DM / HTN, blood thinners</t>
  </si>
  <si>
    <t xml:space="preserve">VA with PH, SLE (lens grading), IOP, DFE / B-scan, biometry, syringing, pre-op bloods</t>
  </si>
  <si>
    <t xml:space="preserve">Immature senile cataract (NS3) RE; early cataract LE</t>
  </si>
  <si>
    <t xml:space="preserve">Plan: Phaco + foldable PCIOL RE. Pre-op: E/D Moxifloxacin QID × 3 days. Post-op: E/D Moxifloxacin + Dexamethasone 6×/day tapering over 4 weeks; E/D Nepafenac TID × 4 weeks</t>
  </si>
  <si>
    <t xml:space="preserve">IOL options and package counselling; post-op care; glasses after 1 month</t>
  </si>
  <si>
    <t xml:space="preserve">SCN-002</t>
  </si>
  <si>
    <t xml:space="preserve">Post-cataract review (POD 1)</t>
  </si>
  <si>
    <t xml:space="preserve">"I can see better, slight grittiness."</t>
  </si>
  <si>
    <t xml:space="preserve">Pain, redness, discharge</t>
  </si>
  <si>
    <t xml:space="preserve">VA, SLE (wound, AC cells, cornea, IOL position), IOP</t>
  </si>
  <si>
    <t xml:space="preserve">Pseudophakia RE, POD 1, quiet AC</t>
  </si>
  <si>
    <t xml:space="preserve">Continue steroid–antibiotic taper; lubricants QID</t>
  </si>
  <si>
    <t xml:space="preserve">Shield at night; no water in eye; review at 1 week and 1 month</t>
  </si>
  <si>
    <t xml:space="preserve">SCN-003</t>
  </si>
  <si>
    <t xml:space="preserve">"After cataract operation I saw well, but now it's blurry again."</t>
  </si>
  <si>
    <t xml:space="preserve">Time since surgery, glare</t>
  </si>
  <si>
    <t xml:space="preserve">VA, SLE (PCO grading), IOP, DFE</t>
  </si>
  <si>
    <t xml:space="preserve">PCO RE (pseudophakic)</t>
  </si>
  <si>
    <t xml:space="preserve">Nd:YAG capsulotomy RE; E/D Loteprednol QID × 5 days; Apraclonidine pre / post laser</t>
  </si>
  <si>
    <t xml:space="preserve">Floaters may appear; review 1 week with IOP</t>
  </si>
  <si>
    <t xml:space="preserve">SCN-004</t>
  </si>
  <si>
    <t xml:space="preserve">"No problem, came for spectacle check." (IOP found high)</t>
  </si>
  <si>
    <t xml:space="preserve">Family history, steroid use, asthma / heart disease, previous IOP</t>
  </si>
  <si>
    <t xml:space="preserve">VA, GAT, gonioscopy (open), 90D disc (C:D 0.7), HFA 24-2, OCT RNFL, CCT</t>
  </si>
  <si>
    <t xml:space="preserve">POAG BE (moderate)</t>
  </si>
  <si>
    <t xml:space="preserve">E/D Latanoprost 0.005% HS BE; add E/D Timolol 0.5% BD if target not reached</t>
  </si>
  <si>
    <t xml:space="preserve">Lifelong drops; punctal occlusion; IOP every 3 months; fields every 6 months; screen family</t>
  </si>
  <si>
    <t xml:space="preserve">SCN-005</t>
  </si>
  <si>
    <t xml:space="preserve">"Severe pain in right eye with headache and vomiting since last night; seeing rainbow rings."</t>
  </si>
  <si>
    <t xml:space="preserve">Onset, haloes, previous attacks, recent dilation / drugs</t>
  </si>
  <si>
    <t xml:space="preserve">VA, IOP (e.g., 56 mmHg), SLE (corneal oedema, shallow AC, mid-dilated pupil), gonioscopy fellow eye</t>
  </si>
  <si>
    <t xml:space="preserve">Acute primary angle-closure RE; PACS LE</t>
  </si>
  <si>
    <t xml:space="preserve">Inj Mannitol 20% IV stat; Tab Acetazolamide 500 mg stat then 250 mg QID; E/D Timolol 0.5% stat; E/D Pilocarpine 2% after IOP falls; E/D Prednisolone acetate QID</t>
  </si>
  <si>
    <t xml:space="preserve">YAG PI both eyes once cornea clears; urgent follow-up</t>
  </si>
  <si>
    <t xml:space="preserve">SCN-006</t>
  </si>
  <si>
    <t xml:space="preserve">"Both eyes red, watering and gritty for 3 days; family members also have it."</t>
  </si>
  <si>
    <t xml:space="preserve">Contacts, fever / cold, discharge type, vision</t>
  </si>
  <si>
    <t xml:space="preserve">VA, SLE (follicles, SEIs, pseudomembrane), preauricular node</t>
  </si>
  <si>
    <t xml:space="preserve">Acute viral (adenoviral) conjunctivitis BE</t>
  </si>
  <si>
    <t xml:space="preserve">E/D Moxifloxacin QID × 5 days (prophylaxis); E/D CMC 0.5% 6×/day; cold compress; E/D Loteprednol if SEIs</t>
  </si>
  <si>
    <t xml:space="preserve">Hand hygiene; separate towel; stay home 5–7 days; review if vision drops</t>
  </si>
  <si>
    <t xml:space="preserve">SCN-007</t>
  </si>
  <si>
    <t xml:space="preserve">"Yellow discharge, eyelids stuck in the morning."</t>
  </si>
  <si>
    <t xml:space="preserve">Duration, contact lens use</t>
  </si>
  <si>
    <t xml:space="preserve">VA, SLE (papillae, mucopurulent discharge), cornea clear</t>
  </si>
  <si>
    <t xml:space="preserve">Acute bacterial conjunctivitis LE</t>
  </si>
  <si>
    <t xml:space="preserve">E/D Tobramycin 0.3% QID × 7 days; E/O Chloramphenicol HS</t>
  </si>
  <si>
    <t xml:space="preserve">Clean discharge with boiled cooled water; hygiene</t>
  </si>
  <si>
    <t xml:space="preserve">SCN-008</t>
  </si>
  <si>
    <t xml:space="preserve">"Eyes itch badly, especially in spring and when dusting."</t>
  </si>
  <si>
    <t xml:space="preserve">Seasonality, atopy (asthma, eczema), rubbing</t>
  </si>
  <si>
    <t xml:space="preserve">SLE (papillae, chemosis, stringy mucus)</t>
  </si>
  <si>
    <t xml:space="preserve">Seasonal allergic conjunctivitis BE</t>
  </si>
  <si>
    <t xml:space="preserve">E/D Olopatadine 0.1% BD × 4–6 weeks; E/D CMC QID; E/D FML 0.1% BD × 1 week if severe</t>
  </si>
  <si>
    <t xml:space="preserve">Avoid rubbing; cold compress; sunglasses</t>
  </si>
  <si>
    <t xml:space="preserve">SCN-009</t>
  </si>
  <si>
    <t xml:space="preserve">Vernal keratoconjunctivitis (child)</t>
  </si>
  <si>
    <t xml:space="preserve">"My son keeps rubbing his eyes and has thick white discharge every summer."</t>
  </si>
  <si>
    <t xml:space="preserve">Age, seasonality, allergy history, steroid misuse</t>
  </si>
  <si>
    <t xml:space="preserve">SLE: giant papillae, Trantas dots, shield ulcer; IOP</t>
  </si>
  <si>
    <t xml:space="preserve">VKC (mixed type) BE</t>
  </si>
  <si>
    <t xml:space="preserve">E/D Olopatadine 0.2% OD; E/D Cyclosporine 0.05% BD; short pulse of E/D Loteprednol QID × 1 week; E/D CMC</t>
  </si>
  <si>
    <t xml:space="preserve">Long-term follow-up; monitor IOP on steroids; avoid rubbing</t>
  </si>
  <si>
    <t xml:space="preserve">SCN-010</t>
  </si>
  <si>
    <t xml:space="preserve">Dry eye / computer vision syndrome</t>
  </si>
  <si>
    <t xml:space="preserve">"Eyes burn and feel tired after office work."</t>
  </si>
  <si>
    <t xml:space="preserve">Screen hours, AC environment, contact lens, medications</t>
  </si>
  <si>
    <t xml:space="preserve">Schirmer's, TBUT, fluorescein staining, lid margin exam</t>
  </si>
  <si>
    <t xml:space="preserve">Dry eye disease with MGD BE</t>
  </si>
  <si>
    <t xml:space="preserve">E/D CMC 0.5% QID; E/G Carbomer HS; warm compress + lid hygiene BD; Cap Omega-3 × 3 months</t>
  </si>
  <si>
    <t xml:space="preserve">20-20-20 rule; blinking; screen ergonomics</t>
  </si>
  <si>
    <t xml:space="preserve">SCN-011</t>
  </si>
  <si>
    <t xml:space="preserve">"Painful swelling on the edge of upper eyelid."</t>
  </si>
  <si>
    <t xml:space="preserve">Duration, recurrences, blood sugar</t>
  </si>
  <si>
    <t xml:space="preserve">Lid exam: localised tender swelling, pus point</t>
  </si>
  <si>
    <t xml:space="preserve">External hordeolum RE upper lid</t>
  </si>
  <si>
    <t xml:space="preserve">E/O Chloramphenicol BD–TID; hot fomentation QID; Tab Paracetamol SOS</t>
  </si>
  <si>
    <t xml:space="preserve">Don't squeeze; check sugar if recurrent</t>
  </si>
  <si>
    <t xml:space="preserve">SCN-012</t>
  </si>
  <si>
    <t xml:space="preserve">"Painless lump on my lid for one month."</t>
  </si>
  <si>
    <t xml:space="preserve">Duration, recurrence, age</t>
  </si>
  <si>
    <t xml:space="preserve">Lid eversion, size</t>
  </si>
  <si>
    <t xml:space="preserve">Chalazion LE lower lid</t>
  </si>
  <si>
    <t xml:space="preserve">Warm compress + massage × 2–4 weeks; I&amp;C if persists</t>
  </si>
  <si>
    <t xml:space="preserve">Recurrent in elderly → biopsy</t>
  </si>
  <si>
    <t xml:space="preserve">SCN-013</t>
  </si>
  <si>
    <t xml:space="preserve">Corneal ulcer (fungal)</t>
  </si>
  <si>
    <t xml:space="preserve">"Leaf / paddy husk hit my eye 5 days ago; now painful and red with white spot."</t>
  </si>
  <si>
    <t xml:space="preserve">Nature of trauma, prior drops (steroids), vision</t>
  </si>
  <si>
    <t xml:space="preserve">VA, SLE with fluorescein (feathery infiltrate, satellite lesions, hypopyon), corneal scraping (KOH, Gram, culture)</t>
  </si>
  <si>
    <t xml:space="preserve">Fungal keratitis LE with hypopyon</t>
  </si>
  <si>
    <t xml:space="preserve">E/D Natamycin 5% hourly; E/D Homatropine 2% TID; Tab Paracetamol; NO steroids; add Voriconazole if deep</t>
  </si>
  <si>
    <t xml:space="preserve">Daily review initially; risk of perforation / scar; keratoplasty if not healing</t>
  </si>
  <si>
    <t xml:space="preserve">SCN-014</t>
  </si>
  <si>
    <t xml:space="preserve">"Iron particle flew into my eye while grinding."</t>
  </si>
  <si>
    <t xml:space="preserve">Occupation, time, eye protection</t>
  </si>
  <si>
    <t xml:space="preserve">VA, SLE with fluorescein, lid eversion</t>
  </si>
  <si>
    <t xml:space="preserve">Corneal FB with rust ring RE</t>
  </si>
  <si>
    <t xml:space="preserve">FB removal under topical anaesthesia; E/O Ciprofloxacin QID × 5 days; E/D Homatropine BD × 2 days</t>
  </si>
  <si>
    <t xml:space="preserve">Wear protective goggles; review next day</t>
  </si>
  <si>
    <t xml:space="preserve">SCN-015</t>
  </si>
  <si>
    <t xml:space="preserve">"Right eye red and painful, can't stand light, vision blurred."</t>
  </si>
  <si>
    <t xml:space="preserve">Previous episodes, back pain / stiffness, joint pain, TB contact</t>
  </si>
  <si>
    <t xml:space="preserve">VA, SLE (circumcorneal congestion, KPs, AC cells / flare, PS), IOP, DFE</t>
  </si>
  <si>
    <t xml:space="preserve">Acute non-granulomatous anterior uveitis RE</t>
  </si>
  <si>
    <t xml:space="preserve">E/D Prednisolone acetate 1% 2-hourly, taper weekly; E/D Atropine 1% BD or Homatropine TID</t>
  </si>
  <si>
    <t xml:space="preserve">Uveitis workup (HLA-B27, CBC, ESR, Mantoux, CXR); review in 3–5 days with IOP</t>
  </si>
  <si>
    <t xml:space="preserve">SCN-016</t>
  </si>
  <si>
    <t xml:space="preserve">"I've had diabetes 12 years; reading has become difficult."</t>
  </si>
  <si>
    <t xml:space="preserve">DM duration, HbA1c, BP, kidney status, insulin</t>
  </si>
  <si>
    <t xml:space="preserve">VA, DFE (MA, haemorrhages, HE, NVE), OCT macula, FFA</t>
  </si>
  <si>
    <t xml:space="preserve">Severe NPDR with CSME RE; moderate NPDR LE</t>
  </si>
  <si>
    <t xml:space="preserve">Inj Ranibizumab / Aflibercept intravitreal RE monthly × 3; PRP later as indicated</t>
  </si>
  <si>
    <t xml:space="preserve">Strict sugar / BP control; review every 1–3 months</t>
  </si>
  <si>
    <t xml:space="preserve">SCN-017</t>
  </si>
  <si>
    <t xml:space="preserve">Wet ARMD</t>
  </si>
  <si>
    <t xml:space="preserve">"Straight lines look wavy and there's a dark spot in the centre of my right eye."</t>
  </si>
  <si>
    <t xml:space="preserve">Onset, smoking, other eye, family history</t>
  </si>
  <si>
    <t xml:space="preserve">VA, Amsler grid, DFE, OCT (SRF / PED), OCTA / FFA</t>
  </si>
  <si>
    <t xml:space="preserve">Neovascular (wet) ARMD with active CNVM RE; dry ARMD LE</t>
  </si>
  <si>
    <t xml:space="preserve">Inj Aflibercept 2 mg intravitreal RE monthly × 3 then treat-and-extend; AREDS2 supplement daily</t>
  </si>
  <si>
    <t xml:space="preserve">Amsler grid at home; stop smoking; injection counselling</t>
  </si>
  <si>
    <t xml:space="preserve">SCN-018</t>
  </si>
  <si>
    <t xml:space="preserve">"Flashes and floaters for 2 days, now a black curtain over the lower part of my vision."</t>
  </si>
  <si>
    <t xml:space="preserve">Myopia, trauma, prior cataract surgery, duration</t>
  </si>
  <si>
    <t xml:space="preserve">VA, IOP, DFE with indentation, B-scan if media hazy</t>
  </si>
  <si>
    <t xml:space="preserve">Rhegmatogenous RD RE (macula-on / macula-off)</t>
  </si>
  <si>
    <t xml:space="preserve">Urgent surgery: PPV + gas / SOI or scleral buckle</t>
  </si>
  <si>
    <t xml:space="preserve">Positioning after surgery; no air travel with gas</t>
  </si>
  <si>
    <t xml:space="preserve">SCN-019</t>
  </si>
  <si>
    <t xml:space="preserve">"Suddenly lost vision in my left eye an hour ago, no pain."</t>
  </si>
  <si>
    <t xml:space="preserve">Exact time, heart disease, stroke risk, jaw claudication (GCA)</t>
  </si>
  <si>
    <t xml:space="preserve">VA, RAPD, DFE (cherry-red spot), ESR / CRP, carotid Doppler, ECHO</t>
  </si>
  <si>
    <t xml:space="preserve">CRAO LE</t>
  </si>
  <si>
    <t xml:space="preserve">Ocular massage, lower IOP (acetazolamide, AC paracentesis); urgent physician / stroke referral</t>
  </si>
  <si>
    <t xml:space="preserve">Stroke workup; prognosis guarded</t>
  </si>
  <si>
    <t xml:space="preserve">SCN-020</t>
  </si>
  <si>
    <t xml:space="preserve">Myopia (school child)</t>
  </si>
  <si>
    <t xml:space="preserve">"Teacher says my daughter can't read the blackboard."</t>
  </si>
  <si>
    <t xml:space="preserve">Screen time, outdoor time, parental myopia</t>
  </si>
  <si>
    <t xml:space="preserve">VA, cycloplegic refraction, PMT, fundus</t>
  </si>
  <si>
    <t xml:space="preserve">Simple myopia BE (-2.00 DS)</t>
  </si>
  <si>
    <t xml:space="preserve">Full-time single-vision glasses; consider low-dose Atropine 0.01% HS / DIMS lenses</t>
  </si>
  <si>
    <t xml:space="preserve">Outdoor time 2 hrs/day; review every 6 months</t>
  </si>
  <si>
    <t xml:space="preserve">SCN-021</t>
  </si>
  <si>
    <t xml:space="preserve">"I have to hold the newspaper farther to read."</t>
  </si>
  <si>
    <t xml:space="preserve">Age (40+), occupation, near work</t>
  </si>
  <si>
    <t xml:space="preserve">VA distance and near, refraction with add</t>
  </si>
  <si>
    <t xml:space="preserve">Presbyopia BE</t>
  </si>
  <si>
    <t xml:space="preserve">Near add +1.50 DS BE (reading glasses / bifocal / PAL)</t>
  </si>
  <si>
    <t xml:space="preserve">Power increases with age; review yearly</t>
  </si>
  <si>
    <t xml:space="preserve">SCN-022</t>
  </si>
  <si>
    <t xml:space="preserve">Amblyopia with squint (child)</t>
  </si>
  <si>
    <t xml:space="preserve">"My son's left eye turns inward."</t>
  </si>
  <si>
    <t xml:space="preserve">Onset, birth history, family history</t>
  </si>
  <si>
    <t xml:space="preserve">VA, cover test, cycloplegic refraction, fundus</t>
  </si>
  <si>
    <t xml:space="preserve">Refractive accommodative esotropia with amblyopia LE</t>
  </si>
  <si>
    <t xml:space="preserve">Full cycloplegic correction glasses; patch RE 4–6 hours/day</t>
  </si>
  <si>
    <t xml:space="preserve">Compliance; review 4–6 weeks; surgery if residual squint</t>
  </si>
  <si>
    <t xml:space="preserve">SCN-023</t>
  </si>
  <si>
    <t xml:space="preserve">"Water keeps flowing from my left eye with sticky discharge for months."</t>
  </si>
  <si>
    <t xml:space="preserve">Duration, discharge, prior surgery, sinus problems</t>
  </si>
  <si>
    <t xml:space="preserve">ROPLAS, syringing (regurgitation), Jones test</t>
  </si>
  <si>
    <t xml:space="preserve">Chronic dacryocystitis with NLDO LE</t>
  </si>
  <si>
    <t xml:space="preserve">E/D Moxifloxacin QID × 1 week; plan DCR LE</t>
  </si>
  <si>
    <t xml:space="preserve">Surgery clears infection risk before cataract surgery</t>
  </si>
  <si>
    <t xml:space="preserve">SCN-024</t>
  </si>
  <si>
    <t xml:space="preserve">"Woke up with a red blood patch in my eye, no pain."</t>
  </si>
  <si>
    <t xml:space="preserve">BP, blood thinners, coughing / straining, injury</t>
  </si>
  <si>
    <t xml:space="preserve">VA, SLE, BP</t>
  </si>
  <si>
    <t xml:space="preserve">Subconjunctival haemorrhage RE</t>
  </si>
  <si>
    <t xml:space="preserve">E/D CMC QID (comfort); check BP</t>
  </si>
  <si>
    <t xml:space="preserve">Resolves in 1–2 weeks; reassurance</t>
  </si>
  <si>
    <t xml:space="preserve">SCN-025</t>
  </si>
  <si>
    <t xml:space="preserve">"Lime (chuna) went into my eye."</t>
  </si>
  <si>
    <t xml:space="preserve">Chemical type, time, first aid given</t>
  </si>
  <si>
    <t xml:space="preserve">Immediate irrigation, pH check, VA, SLE (limbal ischaemia grading)</t>
  </si>
  <si>
    <t xml:space="preserve">Alkali (lime) injury RE, Grade II</t>
  </si>
  <si>
    <t xml:space="preserve">Irrigation until pH 7; particle removal; E/D Moxifloxacin QID; E/D Prednisolone acetate QID (1st week); E/D Homatropine; Tab Vitamin C; lubricants</t>
  </si>
  <si>
    <t xml:space="preserve">Daily review; AMT if needed</t>
  </si>
  <si>
    <t xml:space="preserve">SCN-026</t>
  </si>
  <si>
    <t xml:space="preserve">"Painful blisters on forehead and eye is red."</t>
  </si>
  <si>
    <t xml:space="preserve">Onset of rash, immunity status, age</t>
  </si>
  <si>
    <t xml:space="preserve">Skin exam, Hutchinson sign, SLE (keratitis, uveitis), IOP</t>
  </si>
  <si>
    <t xml:space="preserve">HZO RE with keratitis</t>
  </si>
  <si>
    <t xml:space="preserve">Tab Acyclovir 800 mg 5×/day × 7–10 days; E/O Acyclovir; lubricants; steroid drops if uveitis / stromal keratitis</t>
  </si>
  <si>
    <t xml:space="preserve">Pain management; follow-up for post-herpetic neuralgia</t>
  </si>
  <si>
    <t xml:space="preserve">SCN-027</t>
  </si>
  <si>
    <t xml:space="preserve">"My eyes look bigger and staring; people say I look angry."</t>
  </si>
  <si>
    <t xml:space="preserve">Thyroid history, smoking, diplopia</t>
  </si>
  <si>
    <t xml:space="preserve">Hertel, lid retraction, EOM, IOP, colour vision, CT orbit, TFTs</t>
  </si>
  <si>
    <t xml:space="preserve">Thyroid eye disease BE (mild, active)</t>
  </si>
  <si>
    <t xml:space="preserve">Lubricants QID; Tab Selenium 100 µg BD × 6 months; IV methylprednisolone if moderate–severe</t>
  </si>
  <si>
    <t xml:space="preserve">Stop smoking; endocrinology co-management</t>
  </si>
  <si>
    <t xml:space="preserve">SCN-028</t>
  </si>
  <si>
    <t xml:space="preserve">"Vision in right eye went blurry over 2 days, pain when I move the eye."</t>
  </si>
  <si>
    <t xml:space="preserve">Age, previous episodes, neurological symptoms</t>
  </si>
  <si>
    <t xml:space="preserve">VA, RAPD, colour vision (Ishihara), fundus, VEP, MRI brain</t>
  </si>
  <si>
    <t xml:space="preserve">Optic neuritis RE (retrobulbar)</t>
  </si>
  <si>
    <t xml:space="preserve">Inj Methylprednisolone 1 g IV × 3 days, then oral prednisolone taper</t>
  </si>
  <si>
    <t xml:space="preserve">Neurology referral (MS workup); recovery over weeks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</si>
</sst>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u val="single"/>
      <sz val="11"/>
      <color rgb="FF0563C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40404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F2F6FA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Ophthalmology_Vocabulary_Report.xlsx" TargetMode="External"/><Relationship Id="rId2" Type="http://schemas.openxmlformats.org/officeDocument/2006/relationships/hyperlink" Target="Ophthalmology_Vocabulary_Report.xlsx" TargetMode="External"/><Relationship Id="rId3" Type="http://schemas.openxmlformats.org/officeDocument/2006/relationships/hyperlink" Target="Ophthalmology_Vocabulary_Report.xlsx" TargetMode="External"/><Relationship Id="rId4" Type="http://schemas.openxmlformats.org/officeDocument/2006/relationships/hyperlink" Target="Ophthalmology_Vocabulary_Report.xlsx" TargetMode="External"/><Relationship Id="rId5" Type="http://schemas.openxmlformats.org/officeDocument/2006/relationships/hyperlink" Target="Ophthalmology_Vocabulary_Report.xlsx" TargetMode="External"/><Relationship Id="rId6" Type="http://schemas.openxmlformats.org/officeDocument/2006/relationships/hyperlink" Target="Ophthalmology_Vocabulary_Report.xlsx" TargetMode="External"/><Relationship Id="rId7" Type="http://schemas.openxmlformats.org/officeDocument/2006/relationships/hyperlink" Target="Ophthalmology_Vocabulary_Report.xlsx" TargetMode="External"/><Relationship Id="rId8" Type="http://schemas.openxmlformats.org/officeDocument/2006/relationships/hyperlink" Target="Ophthalmology_Vocabulary_Report.xlsx" TargetMode="External"/><Relationship Id="rId9" Type="http://schemas.openxmlformats.org/officeDocument/2006/relationships/hyperlink" Target="Ophthalmology_Vocabulary_Report.xlsx" TargetMode="External"/><Relationship Id="rId10" Type="http://schemas.openxmlformats.org/officeDocument/2006/relationships/hyperlink" Target="Ophthalmology_Vocabulary_Report.xlsx" TargetMode="External"/><Relationship Id="rId11" Type="http://schemas.openxmlformats.org/officeDocument/2006/relationships/hyperlink" Target="Ophthalmology_Vocabulary_Report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6" t="n">
        <f aca="false">COUNTA('Diseases &amp; Conditions'!A:A)-1</f>
        <v>157</v>
      </c>
    </row>
    <row r="6" customFormat="false" ht="15" hidden="false" customHeight="false" outlineLevel="0" collapsed="false">
      <c r="A6" s="4" t="s">
        <v>7</v>
      </c>
      <c r="B6" s="5" t="s">
        <v>8</v>
      </c>
      <c r="C6" s="6" t="n">
        <f aca="false">COUNTA('Symptoms &amp; Complaints'!A:A)-1</f>
        <v>48</v>
      </c>
    </row>
    <row r="7" customFormat="false" ht="15" hidden="false" customHeight="false" outlineLevel="0" collapsed="false">
      <c r="A7" s="4" t="s">
        <v>9</v>
      </c>
      <c r="B7" s="5" t="s">
        <v>10</v>
      </c>
      <c r="C7" s="6" t="n">
        <f aca="false">COUNTA('Examination &amp; Tests'!A:A)-1</f>
        <v>72</v>
      </c>
    </row>
    <row r="8" customFormat="false" ht="15" hidden="false" customHeight="false" outlineLevel="0" collapsed="false">
      <c r="A8" s="4" t="s">
        <v>11</v>
      </c>
      <c r="B8" s="5" t="s">
        <v>12</v>
      </c>
      <c r="C8" s="6" t="n">
        <f aca="false">COUNTA('Clinical Signs'!A:A)-1</f>
        <v>59</v>
      </c>
    </row>
    <row r="9" customFormat="false" ht="26.85" hidden="false" customHeight="false" outlineLevel="0" collapsed="false">
      <c r="A9" s="4" t="s">
        <v>13</v>
      </c>
      <c r="B9" s="5" t="s">
        <v>14</v>
      </c>
      <c r="C9" s="6" t="n">
        <f aca="false">COUNTA(Medicines!A:A)-1</f>
        <v>116</v>
      </c>
    </row>
    <row r="10" customFormat="false" ht="15" hidden="false" customHeight="false" outlineLevel="0" collapsed="false">
      <c r="A10" s="4" t="s">
        <v>15</v>
      </c>
      <c r="B10" s="5" t="s">
        <v>16</v>
      </c>
      <c r="C10" s="6" t="n">
        <f aca="false">COUNTA('Procedures &amp; Surgery'!A:A)-1</f>
        <v>64</v>
      </c>
    </row>
    <row r="11" customFormat="false" ht="15" hidden="false" customHeight="false" outlineLevel="0" collapsed="false">
      <c r="A11" s="4" t="s">
        <v>17</v>
      </c>
      <c r="B11" s="5" t="s">
        <v>18</v>
      </c>
      <c r="C11" s="6" t="n">
        <f aca="false">COUNTA('Optical &amp; Refraction'!A:A)-1</f>
        <v>37</v>
      </c>
    </row>
    <row r="12" customFormat="false" ht="15" hidden="false" customHeight="false" outlineLevel="0" collapsed="false">
      <c r="A12" s="4" t="s">
        <v>19</v>
      </c>
      <c r="B12" s="5" t="s">
        <v>20</v>
      </c>
      <c r="C12" s="6" t="n">
        <f aca="false">COUNTA('Rx Abbreviations'!A:A)-1</f>
        <v>89</v>
      </c>
    </row>
    <row r="13" customFormat="false" ht="15" hidden="false" customHeight="false" outlineLevel="0" collapsed="false">
      <c r="A13" s="4" t="s">
        <v>21</v>
      </c>
      <c r="B13" s="5" t="s">
        <v>22</v>
      </c>
      <c r="C13" s="6" t="n">
        <f aca="false">COUNTA('Counselling &amp; Advice'!A:A)-1</f>
        <v>54</v>
      </c>
    </row>
    <row r="14" customFormat="false" ht="15" hidden="false" customHeight="false" outlineLevel="0" collapsed="false">
      <c r="A14" s="4" t="s">
        <v>23</v>
      </c>
      <c r="B14" s="5" t="s">
        <v>24</v>
      </c>
      <c r="C14" s="6" t="n">
        <f aca="false">COUNTA('Eye Anatomy'!A:A)-1</f>
        <v>50</v>
      </c>
    </row>
    <row r="15" customFormat="false" ht="26.85" hidden="false" customHeight="false" outlineLevel="0" collapsed="false">
      <c r="A15" s="4" t="s">
        <v>25</v>
      </c>
      <c r="B15" s="5" t="s">
        <v>26</v>
      </c>
      <c r="C15" s="6" t="n">
        <f aca="false">COUNTA('Conversation Scenarios'!A:A)-1</f>
        <v>28</v>
      </c>
    </row>
    <row r="16" customFormat="false" ht="15" hidden="false" customHeight="false" outlineLevel="0" collapsed="false">
      <c r="A16" s="7" t="s">
        <v>27</v>
      </c>
      <c r="B16" s="7"/>
      <c r="C16" s="8" t="n">
        <f aca="false">SUM(C5:C15)</f>
        <v>774</v>
      </c>
    </row>
    <row r="18" customFormat="false" ht="15" hidden="false" customHeight="false" outlineLevel="0" collapsed="false">
      <c r="A18" s="9" t="s">
        <v>28</v>
      </c>
      <c r="B18" s="9"/>
      <c r="C18" s="9" t="s">
        <v>29</v>
      </c>
    </row>
    <row r="19" customFormat="false" ht="15" hidden="false" customHeight="false" outlineLevel="0" collapsed="false">
      <c r="A19" s="10" t="s">
        <v>30</v>
      </c>
      <c r="B19" s="10"/>
      <c r="C19" s="11" t="n">
        <f aca="false">COUNTIF('Diseases &amp; Conditions'!C:C,A19)</f>
        <v>16</v>
      </c>
    </row>
    <row r="20" customFormat="false" ht="15" hidden="false" customHeight="false" outlineLevel="0" collapsed="false">
      <c r="A20" s="10" t="s">
        <v>31</v>
      </c>
      <c r="B20" s="10"/>
      <c r="C20" s="11" t="n">
        <f aca="false">COUNTIF('Diseases &amp; Conditions'!C:C,A20)</f>
        <v>18</v>
      </c>
    </row>
    <row r="21" customFormat="false" ht="15" hidden="false" customHeight="false" outlineLevel="0" collapsed="false">
      <c r="A21" s="10" t="s">
        <v>32</v>
      </c>
      <c r="B21" s="10"/>
      <c r="C21" s="11" t="n">
        <f aca="false">COUNTIF('Diseases &amp; Conditions'!C:C,A21)</f>
        <v>16</v>
      </c>
    </row>
    <row r="22" customFormat="false" ht="15" hidden="false" customHeight="false" outlineLevel="0" collapsed="false">
      <c r="A22" s="10" t="s">
        <v>33</v>
      </c>
      <c r="B22" s="10"/>
      <c r="C22" s="11" t="n">
        <f aca="false">COUNTIF('Diseases &amp; Conditions'!C:C,A22)</f>
        <v>2</v>
      </c>
    </row>
    <row r="23" customFormat="false" ht="15" hidden="false" customHeight="false" outlineLevel="0" collapsed="false">
      <c r="A23" s="10" t="s">
        <v>34</v>
      </c>
      <c r="B23" s="10"/>
      <c r="C23" s="11" t="n">
        <f aca="false">COUNTIF('Diseases &amp; Conditions'!C:C,A23)</f>
        <v>17</v>
      </c>
    </row>
    <row r="24" customFormat="false" ht="15" hidden="false" customHeight="false" outlineLevel="0" collapsed="false">
      <c r="A24" s="10" t="s">
        <v>35</v>
      </c>
      <c r="B24" s="10"/>
      <c r="C24" s="11" t="n">
        <f aca="false">COUNTIF('Diseases &amp; Conditions'!C:C,A24)</f>
        <v>16</v>
      </c>
    </row>
    <row r="25" customFormat="false" ht="15" hidden="false" customHeight="false" outlineLevel="0" collapsed="false">
      <c r="A25" s="10" t="s">
        <v>36</v>
      </c>
      <c r="B25" s="10"/>
      <c r="C25" s="11" t="n">
        <f aca="false">COUNTIF('Diseases &amp; Conditions'!C:C,A25)</f>
        <v>5</v>
      </c>
    </row>
    <row r="26" customFormat="false" ht="15" hidden="false" customHeight="false" outlineLevel="0" collapsed="false">
      <c r="A26" s="10" t="s">
        <v>37</v>
      </c>
      <c r="B26" s="10"/>
      <c r="C26" s="11" t="n">
        <f aca="false">COUNTIF('Diseases &amp; Conditions'!C:C,A26)</f>
        <v>8</v>
      </c>
    </row>
    <row r="27" customFormat="false" ht="15" hidden="false" customHeight="false" outlineLevel="0" collapsed="false">
      <c r="A27" s="10" t="s">
        <v>38</v>
      </c>
      <c r="B27" s="10"/>
      <c r="C27" s="11" t="n">
        <f aca="false">COUNTIF('Diseases &amp; Conditions'!C:C,A27)</f>
        <v>2</v>
      </c>
    </row>
    <row r="28" customFormat="false" ht="15" hidden="false" customHeight="false" outlineLevel="0" collapsed="false">
      <c r="A28" s="10" t="s">
        <v>39</v>
      </c>
      <c r="B28" s="10"/>
      <c r="C28" s="11" t="n">
        <f aca="false">COUNTIF('Diseases &amp; Conditions'!C:C,A28)</f>
        <v>20</v>
      </c>
    </row>
    <row r="29" customFormat="false" ht="15" hidden="false" customHeight="false" outlineLevel="0" collapsed="false">
      <c r="A29" s="10" t="s">
        <v>40</v>
      </c>
      <c r="B29" s="10"/>
      <c r="C29" s="11" t="n">
        <f aca="false">COUNTIF('Diseases &amp; Conditions'!C:C,A29)</f>
        <v>3</v>
      </c>
    </row>
    <row r="30" customFormat="false" ht="15" hidden="false" customHeight="false" outlineLevel="0" collapsed="false">
      <c r="A30" s="10" t="s">
        <v>41</v>
      </c>
      <c r="B30" s="10"/>
      <c r="C30" s="11" t="n">
        <f aca="false">COUNTIF('Diseases &amp; Conditions'!C:C,A30)</f>
        <v>10</v>
      </c>
    </row>
    <row r="31" customFormat="false" ht="15" hidden="false" customHeight="false" outlineLevel="0" collapsed="false">
      <c r="A31" s="10" t="s">
        <v>42</v>
      </c>
      <c r="B31" s="10"/>
      <c r="C31" s="11" t="n">
        <f aca="false">COUNTIF('Diseases &amp; Conditions'!C:C,A31)</f>
        <v>5</v>
      </c>
    </row>
    <row r="32" customFormat="false" ht="15" hidden="false" customHeight="false" outlineLevel="0" collapsed="false">
      <c r="A32" s="10" t="s">
        <v>43</v>
      </c>
      <c r="B32" s="10"/>
      <c r="C32" s="11" t="n">
        <f aca="false">COUNTIF('Diseases &amp; Conditions'!C:C,A32)</f>
        <v>8</v>
      </c>
    </row>
    <row r="33" customFormat="false" ht="15" hidden="false" customHeight="false" outlineLevel="0" collapsed="false">
      <c r="A33" s="10" t="s">
        <v>44</v>
      </c>
      <c r="B33" s="10"/>
      <c r="C33" s="11" t="n">
        <f aca="false">COUNTIF('Diseases &amp; Conditions'!C:C,A33)</f>
        <v>4</v>
      </c>
    </row>
    <row r="34" customFormat="false" ht="15" hidden="false" customHeight="false" outlineLevel="0" collapsed="false">
      <c r="A34" s="10" t="s">
        <v>45</v>
      </c>
      <c r="B34" s="10"/>
      <c r="C34" s="11" t="n">
        <f aca="false">COUNTIF('Diseases &amp; Conditions'!C:C,A34)</f>
        <v>5</v>
      </c>
    </row>
    <row r="35" customFormat="false" ht="15" hidden="false" customHeight="false" outlineLevel="0" collapsed="false">
      <c r="A35" s="10" t="s">
        <v>46</v>
      </c>
      <c r="B35" s="10"/>
      <c r="C35" s="11" t="n">
        <f aca="false">COUNTIF('Diseases &amp; Conditions'!C:C,A35)</f>
        <v>2</v>
      </c>
    </row>
    <row r="37" customFormat="false" ht="15" hidden="false" customHeight="false" outlineLevel="0" collapsed="false">
      <c r="A37" s="9" t="s">
        <v>47</v>
      </c>
      <c r="B37" s="9"/>
      <c r="C37" s="9" t="s">
        <v>29</v>
      </c>
    </row>
    <row r="38" customFormat="false" ht="15" hidden="false" customHeight="false" outlineLevel="0" collapsed="false">
      <c r="A38" s="10" t="s">
        <v>48</v>
      </c>
      <c r="B38" s="10"/>
      <c r="C38" s="11" t="n">
        <f aca="false">COUNTIF(Medicines!C:C,"*"&amp;A38&amp;"*")</f>
        <v>21</v>
      </c>
    </row>
    <row r="39" customFormat="false" ht="15" hidden="false" customHeight="false" outlineLevel="0" collapsed="false">
      <c r="A39" s="10" t="s">
        <v>49</v>
      </c>
      <c r="B39" s="10"/>
      <c r="C39" s="11" t="n">
        <f aca="false">COUNTIF(Medicines!C:C,"*"&amp;A39&amp;"*")</f>
        <v>4</v>
      </c>
    </row>
    <row r="40" customFormat="false" ht="15" hidden="false" customHeight="false" outlineLevel="0" collapsed="false">
      <c r="A40" s="10" t="s">
        <v>50</v>
      </c>
      <c r="B40" s="10"/>
      <c r="C40" s="11" t="n">
        <f aca="false">COUNTIF(Medicines!C:C,"*"&amp;A40&amp;"*")</f>
        <v>4</v>
      </c>
    </row>
    <row r="41" customFormat="false" ht="15" hidden="false" customHeight="false" outlineLevel="0" collapsed="false">
      <c r="A41" s="10" t="s">
        <v>51</v>
      </c>
      <c r="B41" s="10"/>
      <c r="C41" s="11" t="n">
        <f aca="false">COUNTIF(Medicines!C:C,"*"&amp;A41&amp;"*")</f>
        <v>10</v>
      </c>
    </row>
    <row r="42" customFormat="false" ht="15" hidden="false" customHeight="false" outlineLevel="0" collapsed="false">
      <c r="A42" s="10" t="s">
        <v>52</v>
      </c>
      <c r="B42" s="10"/>
      <c r="C42" s="11" t="n">
        <f aca="false">COUNTIF(Medicines!C:C,"*"&amp;A42&amp;"*")</f>
        <v>5</v>
      </c>
    </row>
    <row r="43" customFormat="false" ht="15" hidden="false" customHeight="false" outlineLevel="0" collapsed="false">
      <c r="A43" s="10" t="s">
        <v>53</v>
      </c>
      <c r="B43" s="10"/>
      <c r="C43" s="11" t="n">
        <f aca="false">COUNTIF(Medicines!C:C,"*"&amp;A43&amp;"*")</f>
        <v>16</v>
      </c>
    </row>
    <row r="44" customFormat="false" ht="15" hidden="false" customHeight="false" outlineLevel="0" collapsed="false">
      <c r="A44" s="10" t="s">
        <v>54</v>
      </c>
      <c r="B44" s="10"/>
      <c r="C44" s="11" t="n">
        <f aca="false">COUNTIF(Medicines!C:C,"*"&amp;A44&amp;"*")</f>
        <v>3</v>
      </c>
    </row>
    <row r="45" customFormat="false" ht="15" hidden="false" customHeight="false" outlineLevel="0" collapsed="false">
      <c r="A45" s="10" t="s">
        <v>55</v>
      </c>
      <c r="B45" s="10"/>
      <c r="C45" s="11" t="n">
        <f aca="false">COUNTIF(Medicines!C:C,"*"&amp;A45&amp;"*")</f>
        <v>3</v>
      </c>
    </row>
    <row r="46" customFormat="false" ht="15" hidden="false" customHeight="false" outlineLevel="0" collapsed="false">
      <c r="A46" s="10" t="s">
        <v>56</v>
      </c>
      <c r="B46" s="10"/>
      <c r="C46" s="11" t="n">
        <f aca="false">COUNTIF(Medicines!C:C,"*"&amp;A46&amp;"*")</f>
        <v>6</v>
      </c>
    </row>
    <row r="47" customFormat="false" ht="15" hidden="false" customHeight="false" outlineLevel="0" collapsed="false">
      <c r="A47" s="10" t="s">
        <v>57</v>
      </c>
      <c r="B47" s="10"/>
      <c r="C47" s="11" t="n">
        <f aca="false">COUNTIF(Medicines!C:C,"*"&amp;A47&amp;"*")</f>
        <v>7</v>
      </c>
    </row>
    <row r="48" customFormat="false" ht="15" hidden="false" customHeight="false" outlineLevel="0" collapsed="false">
      <c r="A48" s="10" t="s">
        <v>58</v>
      </c>
      <c r="B48" s="10"/>
      <c r="C48" s="11" t="n">
        <f aca="false">COUNTIF(Medicines!C:C,"*"&amp;A48&amp;"*")</f>
        <v>4</v>
      </c>
    </row>
    <row r="49" customFormat="false" ht="15" hidden="false" customHeight="false" outlineLevel="0" collapsed="false">
      <c r="A49" s="10" t="s">
        <v>59</v>
      </c>
      <c r="B49" s="10"/>
      <c r="C49" s="11" t="n">
        <f aca="false">COUNTIF(Medicines!C:C,"*"&amp;A49&amp;"*")</f>
        <v>2</v>
      </c>
    </row>
    <row r="50" customFormat="false" ht="15" hidden="false" customHeight="false" outlineLevel="0" collapsed="false">
      <c r="A50" s="10" t="s">
        <v>60</v>
      </c>
      <c r="B50" s="10"/>
      <c r="C50" s="11" t="n">
        <f aca="false">COUNTIF(Medicines!C:C,"*"&amp;A50&amp;"*")</f>
        <v>5</v>
      </c>
    </row>
    <row r="51" customFormat="false" ht="15" hidden="false" customHeight="false" outlineLevel="0" collapsed="false">
      <c r="A51" s="10" t="s">
        <v>61</v>
      </c>
      <c r="B51" s="10"/>
      <c r="C51" s="11" t="n">
        <f aca="false">COUNTIF(Medicines!C:C,"*"&amp;A51&amp;"*")</f>
        <v>2</v>
      </c>
    </row>
    <row r="53" customFormat="false" ht="15" hidden="false" customHeight="true" outlineLevel="0" collapsed="false">
      <c r="A53" s="12" t="s">
        <v>62</v>
      </c>
      <c r="B53" s="12"/>
      <c r="C53" s="12"/>
    </row>
    <row r="54" customFormat="false" ht="27.75" hidden="false" customHeight="true" outlineLevel="0" collapsed="false">
      <c r="A54" s="13" t="s">
        <v>63</v>
      </c>
      <c r="B54" s="13"/>
      <c r="C54" s="13"/>
    </row>
    <row r="55" customFormat="false" ht="27.75" hidden="false" customHeight="true" outlineLevel="0" collapsed="false">
      <c r="A55" s="13" t="s">
        <v>64</v>
      </c>
      <c r="B55" s="13"/>
      <c r="C55" s="13"/>
    </row>
    <row r="56" customFormat="false" ht="27.75" hidden="false" customHeight="true" outlineLevel="0" collapsed="false">
      <c r="A56" s="13" t="s">
        <v>65</v>
      </c>
      <c r="B56" s="13"/>
      <c r="C56" s="13"/>
    </row>
    <row r="57" customFormat="false" ht="27.75" hidden="false" customHeight="true" outlineLevel="0" collapsed="false">
      <c r="A57" s="13" t="s">
        <v>66</v>
      </c>
      <c r="B57" s="13"/>
      <c r="C57" s="13"/>
    </row>
    <row r="58" customFormat="false" ht="27.75" hidden="false" customHeight="true" outlineLevel="0" collapsed="false">
      <c r="A58" s="13" t="s">
        <v>67</v>
      </c>
      <c r="B58" s="13"/>
      <c r="C58" s="13"/>
    </row>
    <row r="59" customFormat="false" ht="27.75" hidden="false" customHeight="true" outlineLevel="0" collapsed="false">
      <c r="A59" s="13" t="s">
        <v>68</v>
      </c>
      <c r="B59" s="13"/>
      <c r="C59" s="13"/>
    </row>
  </sheetData>
  <mergeCells count="7">
    <mergeCell ref="A53:C53"/>
    <mergeCell ref="A54:C54"/>
    <mergeCell ref="A55:C55"/>
    <mergeCell ref="A56:C56"/>
    <mergeCell ref="A57:C57"/>
    <mergeCell ref="A58:C58"/>
    <mergeCell ref="A59:C59"/>
  </mergeCells>
  <hyperlinks>
    <hyperlink ref="A5" r:id="rId1" location="'Diseases%20&amp;%20Conditions'!A1" display="Diseases &amp; Conditions"/>
    <hyperlink ref="A6" r:id="rId2" location="'Symptoms%20&amp;%20Complaints'!A1" display="Symptoms &amp; Complaints"/>
    <hyperlink ref="A7" r:id="rId3" location="'Examination%20&amp;%20Tests'!A1" display="Examination &amp; Tests"/>
    <hyperlink ref="A8" r:id="rId4" location="'Clinical%20Signs'!A1" display="Clinical Signs"/>
    <hyperlink ref="A9" r:id="rId5" location="'Medicines'!A1" display="Medicines"/>
    <hyperlink ref="A10" r:id="rId6" location="'Procedures%20&amp;%20Surgery'!A1" display="Procedures &amp; Surgery"/>
    <hyperlink ref="A11" r:id="rId7" location="'Optical%20&amp;%20Refraction'!A1" display="Optical &amp; Refraction"/>
    <hyperlink ref="A12" r:id="rId8" location="'Rx%20Abbreviations'!A1" display="Rx Abbreviations"/>
    <hyperlink ref="A13" r:id="rId9" location="'Counselling%20&amp;%20Advice'!A1" display="Counselling &amp; Advice"/>
    <hyperlink ref="A14" r:id="rId10" location="'Eye%20Anatomy'!A1" display="Eye Anatomy"/>
    <hyperlink ref="A15" r:id="rId11" location="'Conversation%20Scenarios'!A1" display="Conversation Scenar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42"/>
    <col collapsed="false" customWidth="true" hidden="false" outlineLevel="0" max="8" min="8" style="0" width="40"/>
    <col collapsed="false" customWidth="true" hidden="false" outlineLevel="0" max="9" min="9" style="0" width="46"/>
  </cols>
  <sheetData>
    <row r="1" customFormat="false" ht="31.5" hidden="false" customHeight="true" outlineLevel="0" collapsed="false">
      <c r="A1" s="14" t="s">
        <v>69</v>
      </c>
      <c r="B1" s="14" t="s">
        <v>70</v>
      </c>
      <c r="C1" s="14" t="s">
        <v>71</v>
      </c>
      <c r="D1" s="14" t="s">
        <v>72</v>
      </c>
      <c r="E1" s="14" t="s">
        <v>73</v>
      </c>
      <c r="F1" s="14" t="s">
        <v>74</v>
      </c>
      <c r="G1" s="14" t="s">
        <v>75</v>
      </c>
      <c r="H1" s="14" t="s">
        <v>76</v>
      </c>
      <c r="I1" s="14" t="s">
        <v>77</v>
      </c>
    </row>
    <row r="2" customFormat="false" ht="23.85" hidden="false" customHeight="false" outlineLevel="0" collapsed="false">
      <c r="A2" s="15" t="s">
        <v>78</v>
      </c>
      <c r="B2" s="16" t="s">
        <v>79</v>
      </c>
      <c r="C2" s="15" t="s">
        <v>30</v>
      </c>
      <c r="D2" s="15" t="s">
        <v>80</v>
      </c>
      <c r="E2" s="15" t="s">
        <v>81</v>
      </c>
      <c r="F2" s="15" t="s">
        <v>82</v>
      </c>
      <c r="G2" s="15" t="s">
        <v>83</v>
      </c>
      <c r="H2" s="15" t="s">
        <v>84</v>
      </c>
      <c r="I2" s="15" t="s">
        <v>85</v>
      </c>
    </row>
    <row r="3" customFormat="false" ht="23.85" hidden="false" customHeight="false" outlineLevel="0" collapsed="false">
      <c r="A3" s="17" t="s">
        <v>86</v>
      </c>
      <c r="B3" s="18" t="s">
        <v>87</v>
      </c>
      <c r="C3" s="17" t="s">
        <v>30</v>
      </c>
      <c r="D3" s="17" t="s">
        <v>88</v>
      </c>
      <c r="E3" s="17" t="s">
        <v>89</v>
      </c>
      <c r="F3" s="17" t="s">
        <v>90</v>
      </c>
      <c r="G3" s="17" t="s">
        <v>91</v>
      </c>
      <c r="H3" s="17" t="s">
        <v>92</v>
      </c>
      <c r="I3" s="17" t="s">
        <v>93</v>
      </c>
    </row>
    <row r="4" customFormat="false" ht="15" hidden="false" customHeight="false" outlineLevel="0" collapsed="false">
      <c r="A4" s="15" t="s">
        <v>94</v>
      </c>
      <c r="B4" s="16" t="s">
        <v>95</v>
      </c>
      <c r="C4" s="15" t="s">
        <v>30</v>
      </c>
      <c r="D4" s="15" t="s">
        <v>96</v>
      </c>
      <c r="E4" s="15" t="s">
        <v>97</v>
      </c>
      <c r="F4" s="15" t="s">
        <v>90</v>
      </c>
      <c r="G4" s="15" t="s">
        <v>98</v>
      </c>
      <c r="H4" s="15" t="s">
        <v>99</v>
      </c>
      <c r="I4" s="15" t="s">
        <v>93</v>
      </c>
    </row>
    <row r="5" customFormat="false" ht="23.85" hidden="false" customHeight="false" outlineLevel="0" collapsed="false">
      <c r="A5" s="17" t="s">
        <v>100</v>
      </c>
      <c r="B5" s="18" t="s">
        <v>101</v>
      </c>
      <c r="C5" s="17" t="s">
        <v>30</v>
      </c>
      <c r="D5" s="17" t="s">
        <v>102</v>
      </c>
      <c r="E5" s="17" t="s">
        <v>97</v>
      </c>
      <c r="F5" s="17" t="s">
        <v>90</v>
      </c>
      <c r="G5" s="17" t="s">
        <v>103</v>
      </c>
      <c r="H5" s="17" t="s">
        <v>104</v>
      </c>
      <c r="I5" s="17" t="s">
        <v>105</v>
      </c>
    </row>
    <row r="6" customFormat="false" ht="23.85" hidden="false" customHeight="false" outlineLevel="0" collapsed="false">
      <c r="A6" s="15" t="s">
        <v>106</v>
      </c>
      <c r="B6" s="16" t="s">
        <v>107</v>
      </c>
      <c r="C6" s="15" t="s">
        <v>30</v>
      </c>
      <c r="D6" s="15" t="s">
        <v>108</v>
      </c>
      <c r="E6" s="15" t="s">
        <v>109</v>
      </c>
      <c r="F6" s="15" t="s">
        <v>110</v>
      </c>
      <c r="G6" s="15" t="s">
        <v>111</v>
      </c>
      <c r="H6" s="15" t="s">
        <v>112</v>
      </c>
      <c r="I6" s="15" t="s">
        <v>113</v>
      </c>
    </row>
    <row r="7" customFormat="false" ht="23.85" hidden="false" customHeight="false" outlineLevel="0" collapsed="false">
      <c r="A7" s="17" t="s">
        <v>114</v>
      </c>
      <c r="B7" s="18" t="s">
        <v>115</v>
      </c>
      <c r="C7" s="17" t="s">
        <v>30</v>
      </c>
      <c r="D7" s="17" t="s">
        <v>116</v>
      </c>
      <c r="E7" s="17" t="s">
        <v>117</v>
      </c>
      <c r="F7" s="17" t="s">
        <v>118</v>
      </c>
      <c r="G7" s="17" t="s">
        <v>119</v>
      </c>
      <c r="H7" s="17" t="s">
        <v>120</v>
      </c>
      <c r="I7" s="17" t="s">
        <v>121</v>
      </c>
    </row>
    <row r="8" customFormat="false" ht="23.85" hidden="false" customHeight="false" outlineLevel="0" collapsed="false">
      <c r="A8" s="15" t="s">
        <v>122</v>
      </c>
      <c r="B8" s="16" t="s">
        <v>123</v>
      </c>
      <c r="C8" s="15" t="s">
        <v>30</v>
      </c>
      <c r="D8" s="15" t="s">
        <v>124</v>
      </c>
      <c r="E8" s="15" t="s">
        <v>125</v>
      </c>
      <c r="F8" s="15" t="s">
        <v>126</v>
      </c>
      <c r="G8" s="15" t="s">
        <v>127</v>
      </c>
      <c r="H8" s="15" t="s">
        <v>128</v>
      </c>
      <c r="I8" s="15" t="s">
        <v>129</v>
      </c>
    </row>
    <row r="9" customFormat="false" ht="23.85" hidden="false" customHeight="false" outlineLevel="0" collapsed="false">
      <c r="A9" s="17" t="s">
        <v>130</v>
      </c>
      <c r="B9" s="18" t="s">
        <v>131</v>
      </c>
      <c r="C9" s="17" t="s">
        <v>30</v>
      </c>
      <c r="D9" s="17" t="s">
        <v>132</v>
      </c>
      <c r="E9" s="17" t="s">
        <v>133</v>
      </c>
      <c r="F9" s="17" t="s">
        <v>134</v>
      </c>
      <c r="G9" s="17" t="s">
        <v>135</v>
      </c>
      <c r="H9" s="17" t="s">
        <v>136</v>
      </c>
      <c r="I9" s="17" t="s">
        <v>137</v>
      </c>
    </row>
    <row r="10" customFormat="false" ht="23.85" hidden="false" customHeight="false" outlineLevel="0" collapsed="false">
      <c r="A10" s="15" t="s">
        <v>138</v>
      </c>
      <c r="B10" s="16" t="s">
        <v>139</v>
      </c>
      <c r="C10" s="15" t="s">
        <v>30</v>
      </c>
      <c r="D10" s="15" t="s">
        <v>140</v>
      </c>
      <c r="E10" s="15" t="s">
        <v>141</v>
      </c>
      <c r="F10" s="15"/>
      <c r="G10" s="15" t="s">
        <v>142</v>
      </c>
      <c r="H10" s="15" t="s">
        <v>143</v>
      </c>
      <c r="I10" s="15" t="s">
        <v>144</v>
      </c>
    </row>
    <row r="11" customFormat="false" ht="23.85" hidden="false" customHeight="false" outlineLevel="0" collapsed="false">
      <c r="A11" s="17" t="s">
        <v>145</v>
      </c>
      <c r="B11" s="18" t="s">
        <v>146</v>
      </c>
      <c r="C11" s="17" t="s">
        <v>30</v>
      </c>
      <c r="D11" s="17" t="s">
        <v>147</v>
      </c>
      <c r="E11" s="17" t="s">
        <v>148</v>
      </c>
      <c r="F11" s="17"/>
      <c r="G11" s="17" t="s">
        <v>149</v>
      </c>
      <c r="H11" s="17" t="s">
        <v>150</v>
      </c>
      <c r="I11" s="17" t="s">
        <v>151</v>
      </c>
    </row>
    <row r="12" customFormat="false" ht="15" hidden="false" customHeight="false" outlineLevel="0" collapsed="false">
      <c r="A12" s="15" t="s">
        <v>152</v>
      </c>
      <c r="B12" s="16" t="s">
        <v>153</v>
      </c>
      <c r="C12" s="15" t="s">
        <v>30</v>
      </c>
      <c r="D12" s="15" t="s">
        <v>154</v>
      </c>
      <c r="E12" s="15" t="s">
        <v>155</v>
      </c>
      <c r="F12" s="15"/>
      <c r="G12" s="15" t="s">
        <v>156</v>
      </c>
      <c r="H12" s="15" t="s">
        <v>157</v>
      </c>
      <c r="I12" s="15" t="s">
        <v>158</v>
      </c>
    </row>
    <row r="13" customFormat="false" ht="23.85" hidden="false" customHeight="false" outlineLevel="0" collapsed="false">
      <c r="A13" s="17" t="s">
        <v>159</v>
      </c>
      <c r="B13" s="18" t="s">
        <v>160</v>
      </c>
      <c r="C13" s="17" t="s">
        <v>30</v>
      </c>
      <c r="D13" s="17" t="s">
        <v>161</v>
      </c>
      <c r="E13" s="17" t="s">
        <v>162</v>
      </c>
      <c r="F13" s="17" t="s">
        <v>163</v>
      </c>
      <c r="G13" s="17" t="s">
        <v>164</v>
      </c>
      <c r="H13" s="17" t="s">
        <v>165</v>
      </c>
      <c r="I13" s="17" t="s">
        <v>166</v>
      </c>
    </row>
    <row r="14" customFormat="false" ht="23.85" hidden="false" customHeight="false" outlineLevel="0" collapsed="false">
      <c r="A14" s="15" t="s">
        <v>167</v>
      </c>
      <c r="B14" s="16" t="s">
        <v>168</v>
      </c>
      <c r="C14" s="15" t="s">
        <v>30</v>
      </c>
      <c r="D14" s="15" t="s">
        <v>169</v>
      </c>
      <c r="E14" s="15" t="s">
        <v>170</v>
      </c>
      <c r="F14" s="15" t="s">
        <v>171</v>
      </c>
      <c r="G14" s="15" t="s">
        <v>172</v>
      </c>
      <c r="H14" s="15" t="s">
        <v>173</v>
      </c>
      <c r="I14" s="15" t="s">
        <v>174</v>
      </c>
    </row>
    <row r="15" customFormat="false" ht="23.85" hidden="false" customHeight="false" outlineLevel="0" collapsed="false">
      <c r="A15" s="17" t="s">
        <v>175</v>
      </c>
      <c r="B15" s="18" t="s">
        <v>176</v>
      </c>
      <c r="C15" s="17" t="s">
        <v>30</v>
      </c>
      <c r="D15" s="17" t="s">
        <v>177</v>
      </c>
      <c r="E15" s="17" t="s">
        <v>178</v>
      </c>
      <c r="F15" s="17"/>
      <c r="G15" s="17" t="s">
        <v>179</v>
      </c>
      <c r="H15" s="17" t="s">
        <v>180</v>
      </c>
      <c r="I15" s="17" t="s">
        <v>181</v>
      </c>
    </row>
    <row r="16" customFormat="false" ht="23.85" hidden="false" customHeight="false" outlineLevel="0" collapsed="false">
      <c r="A16" s="15" t="s">
        <v>182</v>
      </c>
      <c r="B16" s="16" t="s">
        <v>183</v>
      </c>
      <c r="C16" s="15" t="s">
        <v>30</v>
      </c>
      <c r="D16" s="15" t="s">
        <v>184</v>
      </c>
      <c r="E16" s="15" t="s">
        <v>185</v>
      </c>
      <c r="F16" s="15"/>
      <c r="G16" s="15" t="s">
        <v>186</v>
      </c>
      <c r="H16" s="15" t="s">
        <v>187</v>
      </c>
      <c r="I16" s="15" t="s">
        <v>188</v>
      </c>
    </row>
    <row r="17" customFormat="false" ht="23.85" hidden="false" customHeight="false" outlineLevel="0" collapsed="false">
      <c r="A17" s="17" t="s">
        <v>189</v>
      </c>
      <c r="B17" s="18" t="s">
        <v>190</v>
      </c>
      <c r="C17" s="17" t="s">
        <v>30</v>
      </c>
      <c r="D17" s="17" t="s">
        <v>191</v>
      </c>
      <c r="E17" s="17" t="s">
        <v>192</v>
      </c>
      <c r="F17" s="17"/>
      <c r="G17" s="17" t="s">
        <v>193</v>
      </c>
      <c r="H17" s="17" t="s">
        <v>194</v>
      </c>
      <c r="I17" s="17" t="s">
        <v>195</v>
      </c>
    </row>
    <row r="18" customFormat="false" ht="23.85" hidden="false" customHeight="false" outlineLevel="0" collapsed="false">
      <c r="A18" s="15" t="s">
        <v>196</v>
      </c>
      <c r="B18" s="16" t="s">
        <v>197</v>
      </c>
      <c r="C18" s="15" t="s">
        <v>31</v>
      </c>
      <c r="D18" s="15" t="s">
        <v>198</v>
      </c>
      <c r="E18" s="15" t="s">
        <v>199</v>
      </c>
      <c r="F18" s="15" t="s">
        <v>200</v>
      </c>
      <c r="G18" s="15" t="s">
        <v>201</v>
      </c>
      <c r="H18" s="15" t="s">
        <v>202</v>
      </c>
      <c r="I18" s="15" t="s">
        <v>203</v>
      </c>
    </row>
    <row r="19" customFormat="false" ht="23.85" hidden="false" customHeight="false" outlineLevel="0" collapsed="false">
      <c r="A19" s="17" t="s">
        <v>204</v>
      </c>
      <c r="B19" s="18" t="s">
        <v>205</v>
      </c>
      <c r="C19" s="17" t="s">
        <v>31</v>
      </c>
      <c r="D19" s="17" t="s">
        <v>206</v>
      </c>
      <c r="E19" s="17" t="s">
        <v>207</v>
      </c>
      <c r="F19" s="17" t="s">
        <v>208</v>
      </c>
      <c r="G19" s="17" t="s">
        <v>209</v>
      </c>
      <c r="H19" s="17" t="s">
        <v>210</v>
      </c>
      <c r="I19" s="17" t="s">
        <v>211</v>
      </c>
    </row>
    <row r="20" customFormat="false" ht="23.85" hidden="false" customHeight="false" outlineLevel="0" collapsed="false">
      <c r="A20" s="15" t="s">
        <v>212</v>
      </c>
      <c r="B20" s="16" t="s">
        <v>213</v>
      </c>
      <c r="C20" s="15" t="s">
        <v>31</v>
      </c>
      <c r="D20" s="15" t="s">
        <v>214</v>
      </c>
      <c r="E20" s="15" t="s">
        <v>207</v>
      </c>
      <c r="F20" s="15" t="s">
        <v>215</v>
      </c>
      <c r="G20" s="15" t="s">
        <v>216</v>
      </c>
      <c r="H20" s="15" t="s">
        <v>217</v>
      </c>
      <c r="I20" s="15" t="s">
        <v>218</v>
      </c>
    </row>
    <row r="21" customFormat="false" ht="15" hidden="false" customHeight="false" outlineLevel="0" collapsed="false">
      <c r="A21" s="17" t="s">
        <v>219</v>
      </c>
      <c r="B21" s="18" t="s">
        <v>220</v>
      </c>
      <c r="C21" s="17" t="s">
        <v>31</v>
      </c>
      <c r="D21" s="17" t="s">
        <v>221</v>
      </c>
      <c r="E21" s="17" t="s">
        <v>222</v>
      </c>
      <c r="F21" s="17"/>
      <c r="G21" s="17" t="s">
        <v>223</v>
      </c>
      <c r="H21" s="17" t="s">
        <v>224</v>
      </c>
      <c r="I21" s="17" t="s">
        <v>225</v>
      </c>
    </row>
    <row r="22" customFormat="false" ht="23.85" hidden="false" customHeight="false" outlineLevel="0" collapsed="false">
      <c r="A22" s="15" t="s">
        <v>226</v>
      </c>
      <c r="B22" s="16" t="s">
        <v>227</v>
      </c>
      <c r="C22" s="15" t="s">
        <v>31</v>
      </c>
      <c r="D22" s="15" t="s">
        <v>228</v>
      </c>
      <c r="E22" s="15" t="s">
        <v>199</v>
      </c>
      <c r="F22" s="15"/>
      <c r="G22" s="15" t="s">
        <v>229</v>
      </c>
      <c r="H22" s="15" t="s">
        <v>230</v>
      </c>
      <c r="I22" s="15" t="s">
        <v>231</v>
      </c>
    </row>
    <row r="23" customFormat="false" ht="23.85" hidden="false" customHeight="false" outlineLevel="0" collapsed="false">
      <c r="A23" s="17" t="s">
        <v>232</v>
      </c>
      <c r="B23" s="18" t="s">
        <v>233</v>
      </c>
      <c r="C23" s="17" t="s">
        <v>31</v>
      </c>
      <c r="D23" s="17" t="s">
        <v>234</v>
      </c>
      <c r="E23" s="17" t="s">
        <v>222</v>
      </c>
      <c r="F23" s="17" t="s">
        <v>235</v>
      </c>
      <c r="G23" s="17" t="s">
        <v>236</v>
      </c>
      <c r="H23" s="17" t="s">
        <v>224</v>
      </c>
      <c r="I23" s="17" t="s">
        <v>237</v>
      </c>
    </row>
    <row r="24" customFormat="false" ht="23.85" hidden="false" customHeight="false" outlineLevel="0" collapsed="false">
      <c r="A24" s="15" t="s">
        <v>238</v>
      </c>
      <c r="B24" s="16" t="s">
        <v>239</v>
      </c>
      <c r="C24" s="15" t="s">
        <v>31</v>
      </c>
      <c r="D24" s="15" t="s">
        <v>240</v>
      </c>
      <c r="E24" s="15" t="s">
        <v>222</v>
      </c>
      <c r="F24" s="15"/>
      <c r="G24" s="15" t="s">
        <v>241</v>
      </c>
      <c r="H24" s="15" t="s">
        <v>224</v>
      </c>
      <c r="I24" s="15" t="s">
        <v>242</v>
      </c>
    </row>
    <row r="25" customFormat="false" ht="23.85" hidden="false" customHeight="false" outlineLevel="0" collapsed="false">
      <c r="A25" s="17" t="s">
        <v>243</v>
      </c>
      <c r="B25" s="18" t="s">
        <v>244</v>
      </c>
      <c r="C25" s="17" t="s">
        <v>31</v>
      </c>
      <c r="D25" s="17" t="s">
        <v>245</v>
      </c>
      <c r="E25" s="17" t="s">
        <v>199</v>
      </c>
      <c r="F25" s="17"/>
      <c r="G25" s="17" t="s">
        <v>246</v>
      </c>
      <c r="H25" s="17" t="s">
        <v>247</v>
      </c>
      <c r="I25" s="17" t="s">
        <v>248</v>
      </c>
    </row>
    <row r="26" customFormat="false" ht="23.85" hidden="false" customHeight="false" outlineLevel="0" collapsed="false">
      <c r="A26" s="15" t="s">
        <v>249</v>
      </c>
      <c r="B26" s="16" t="s">
        <v>250</v>
      </c>
      <c r="C26" s="15" t="s">
        <v>31</v>
      </c>
      <c r="D26" s="15" t="s">
        <v>251</v>
      </c>
      <c r="E26" s="15" t="s">
        <v>199</v>
      </c>
      <c r="F26" s="15"/>
      <c r="G26" s="15" t="s">
        <v>252</v>
      </c>
      <c r="H26" s="15" t="s">
        <v>253</v>
      </c>
      <c r="I26" s="15" t="s">
        <v>254</v>
      </c>
    </row>
    <row r="27" customFormat="false" ht="15" hidden="false" customHeight="false" outlineLevel="0" collapsed="false">
      <c r="A27" s="17" t="s">
        <v>255</v>
      </c>
      <c r="B27" s="18" t="s">
        <v>256</v>
      </c>
      <c r="C27" s="17" t="s">
        <v>31</v>
      </c>
      <c r="D27" s="17" t="s">
        <v>257</v>
      </c>
      <c r="E27" s="17" t="s">
        <v>258</v>
      </c>
      <c r="F27" s="17"/>
      <c r="G27" s="17" t="s">
        <v>259</v>
      </c>
      <c r="H27" s="17" t="s">
        <v>260</v>
      </c>
      <c r="I27" s="17" t="s">
        <v>261</v>
      </c>
    </row>
    <row r="28" customFormat="false" ht="23.85" hidden="false" customHeight="false" outlineLevel="0" collapsed="false">
      <c r="A28" s="15" t="s">
        <v>262</v>
      </c>
      <c r="B28" s="16" t="s">
        <v>263</v>
      </c>
      <c r="C28" s="15" t="s">
        <v>31</v>
      </c>
      <c r="D28" s="15" t="s">
        <v>264</v>
      </c>
      <c r="E28" s="15" t="s">
        <v>265</v>
      </c>
      <c r="F28" s="15"/>
      <c r="G28" s="15" t="s">
        <v>266</v>
      </c>
      <c r="H28" s="15" t="s">
        <v>267</v>
      </c>
      <c r="I28" s="15" t="s">
        <v>268</v>
      </c>
    </row>
    <row r="29" customFormat="false" ht="23.85" hidden="false" customHeight="false" outlineLevel="0" collapsed="false">
      <c r="A29" s="17" t="s">
        <v>269</v>
      </c>
      <c r="B29" s="18" t="s">
        <v>270</v>
      </c>
      <c r="C29" s="17" t="s">
        <v>31</v>
      </c>
      <c r="D29" s="17" t="s">
        <v>271</v>
      </c>
      <c r="E29" s="17" t="s">
        <v>265</v>
      </c>
      <c r="F29" s="17"/>
      <c r="G29" s="17" t="s">
        <v>272</v>
      </c>
      <c r="H29" s="17" t="s">
        <v>273</v>
      </c>
      <c r="I29" s="17" t="s">
        <v>274</v>
      </c>
    </row>
    <row r="30" customFormat="false" ht="23.85" hidden="false" customHeight="false" outlineLevel="0" collapsed="false">
      <c r="A30" s="15" t="s">
        <v>275</v>
      </c>
      <c r="B30" s="16" t="s">
        <v>276</v>
      </c>
      <c r="C30" s="15" t="s">
        <v>31</v>
      </c>
      <c r="D30" s="15" t="s">
        <v>277</v>
      </c>
      <c r="E30" s="15" t="s">
        <v>265</v>
      </c>
      <c r="F30" s="15"/>
      <c r="G30" s="15" t="s">
        <v>278</v>
      </c>
      <c r="H30" s="15" t="s">
        <v>279</v>
      </c>
      <c r="I30" s="15" t="s">
        <v>280</v>
      </c>
    </row>
    <row r="31" customFormat="false" ht="23.85" hidden="false" customHeight="false" outlineLevel="0" collapsed="false">
      <c r="A31" s="17" t="s">
        <v>281</v>
      </c>
      <c r="B31" s="18" t="s">
        <v>282</v>
      </c>
      <c r="C31" s="17" t="s">
        <v>31</v>
      </c>
      <c r="D31" s="17" t="s">
        <v>283</v>
      </c>
      <c r="E31" s="17" t="s">
        <v>284</v>
      </c>
      <c r="F31" s="17"/>
      <c r="G31" s="17" t="s">
        <v>285</v>
      </c>
      <c r="H31" s="17" t="s">
        <v>286</v>
      </c>
      <c r="I31" s="17" t="s">
        <v>287</v>
      </c>
    </row>
    <row r="32" customFormat="false" ht="15" hidden="false" customHeight="false" outlineLevel="0" collapsed="false">
      <c r="A32" s="15" t="s">
        <v>288</v>
      </c>
      <c r="B32" s="16" t="s">
        <v>289</v>
      </c>
      <c r="C32" s="15" t="s">
        <v>31</v>
      </c>
      <c r="D32" s="15" t="s">
        <v>290</v>
      </c>
      <c r="E32" s="15" t="s">
        <v>291</v>
      </c>
      <c r="F32" s="15"/>
      <c r="G32" s="15" t="s">
        <v>292</v>
      </c>
      <c r="H32" s="15" t="s">
        <v>293</v>
      </c>
      <c r="I32" s="15" t="s">
        <v>294</v>
      </c>
    </row>
    <row r="33" customFormat="false" ht="23.85" hidden="false" customHeight="false" outlineLevel="0" collapsed="false">
      <c r="A33" s="17" t="s">
        <v>295</v>
      </c>
      <c r="B33" s="18" t="s">
        <v>296</v>
      </c>
      <c r="C33" s="17" t="s">
        <v>31</v>
      </c>
      <c r="D33" s="17" t="s">
        <v>297</v>
      </c>
      <c r="E33" s="17" t="s">
        <v>298</v>
      </c>
      <c r="F33" s="17" t="s">
        <v>299</v>
      </c>
      <c r="G33" s="17" t="s">
        <v>300</v>
      </c>
      <c r="H33" s="17" t="s">
        <v>301</v>
      </c>
      <c r="I33" s="17" t="s">
        <v>302</v>
      </c>
    </row>
    <row r="34" customFormat="false" ht="15" hidden="false" customHeight="false" outlineLevel="0" collapsed="false">
      <c r="A34" s="15" t="s">
        <v>303</v>
      </c>
      <c r="B34" s="16" t="s">
        <v>304</v>
      </c>
      <c r="C34" s="15" t="s">
        <v>31</v>
      </c>
      <c r="D34" s="15" t="s">
        <v>305</v>
      </c>
      <c r="E34" s="15" t="s">
        <v>199</v>
      </c>
      <c r="F34" s="15"/>
      <c r="G34" s="15" t="s">
        <v>306</v>
      </c>
      <c r="H34" s="15" t="s">
        <v>307</v>
      </c>
      <c r="I34" s="15" t="s">
        <v>308</v>
      </c>
    </row>
    <row r="35" customFormat="false" ht="23.85" hidden="false" customHeight="false" outlineLevel="0" collapsed="false">
      <c r="A35" s="17" t="s">
        <v>309</v>
      </c>
      <c r="B35" s="18" t="s">
        <v>310</v>
      </c>
      <c r="C35" s="17" t="s">
        <v>31</v>
      </c>
      <c r="D35" s="17" t="s">
        <v>311</v>
      </c>
      <c r="E35" s="17" t="s">
        <v>312</v>
      </c>
      <c r="F35" s="17"/>
      <c r="G35" s="17" t="s">
        <v>313</v>
      </c>
      <c r="H35" s="17" t="s">
        <v>314</v>
      </c>
      <c r="I35" s="17" t="s">
        <v>315</v>
      </c>
    </row>
    <row r="36" customFormat="false" ht="35.05" hidden="false" customHeight="false" outlineLevel="0" collapsed="false">
      <c r="A36" s="15" t="s">
        <v>316</v>
      </c>
      <c r="B36" s="16" t="s">
        <v>317</v>
      </c>
      <c r="C36" s="15" t="s">
        <v>32</v>
      </c>
      <c r="D36" s="15" t="s">
        <v>318</v>
      </c>
      <c r="E36" s="15" t="s">
        <v>319</v>
      </c>
      <c r="F36" s="15" t="s">
        <v>320</v>
      </c>
      <c r="G36" s="15" t="s">
        <v>321</v>
      </c>
      <c r="H36" s="15" t="s">
        <v>322</v>
      </c>
      <c r="I36" s="15" t="s">
        <v>323</v>
      </c>
    </row>
    <row r="37" customFormat="false" ht="23.85" hidden="false" customHeight="false" outlineLevel="0" collapsed="false">
      <c r="A37" s="17" t="s">
        <v>324</v>
      </c>
      <c r="B37" s="18" t="s">
        <v>325</v>
      </c>
      <c r="C37" s="17" t="s">
        <v>32</v>
      </c>
      <c r="D37" s="17" t="s">
        <v>326</v>
      </c>
      <c r="E37" s="17" t="s">
        <v>327</v>
      </c>
      <c r="F37" s="17" t="s">
        <v>320</v>
      </c>
      <c r="G37" s="17" t="s">
        <v>328</v>
      </c>
      <c r="H37" s="17" t="s">
        <v>329</v>
      </c>
      <c r="I37" s="17" t="s">
        <v>330</v>
      </c>
    </row>
    <row r="38" customFormat="false" ht="23.85" hidden="false" customHeight="false" outlineLevel="0" collapsed="false">
      <c r="A38" s="15" t="s">
        <v>331</v>
      </c>
      <c r="B38" s="16" t="s">
        <v>332</v>
      </c>
      <c r="C38" s="15" t="s">
        <v>32</v>
      </c>
      <c r="D38" s="15" t="s">
        <v>333</v>
      </c>
      <c r="E38" s="15" t="s">
        <v>334</v>
      </c>
      <c r="F38" s="15" t="s">
        <v>335</v>
      </c>
      <c r="G38" s="15" t="s">
        <v>336</v>
      </c>
      <c r="H38" s="15" t="s">
        <v>337</v>
      </c>
      <c r="I38" s="15" t="s">
        <v>338</v>
      </c>
    </row>
    <row r="39" customFormat="false" ht="23.85" hidden="false" customHeight="false" outlineLevel="0" collapsed="false">
      <c r="A39" s="17" t="s">
        <v>339</v>
      </c>
      <c r="B39" s="18" t="s">
        <v>340</v>
      </c>
      <c r="C39" s="17" t="s">
        <v>32</v>
      </c>
      <c r="D39" s="17" t="s">
        <v>341</v>
      </c>
      <c r="E39" s="17" t="s">
        <v>342</v>
      </c>
      <c r="F39" s="17" t="s">
        <v>343</v>
      </c>
      <c r="G39" s="17" t="s">
        <v>344</v>
      </c>
      <c r="H39" s="17" t="s">
        <v>345</v>
      </c>
      <c r="I39" s="17" t="s">
        <v>346</v>
      </c>
    </row>
    <row r="40" customFormat="false" ht="23.85" hidden="false" customHeight="false" outlineLevel="0" collapsed="false">
      <c r="A40" s="15" t="s">
        <v>347</v>
      </c>
      <c r="B40" s="16" t="s">
        <v>348</v>
      </c>
      <c r="C40" s="15" t="s">
        <v>32</v>
      </c>
      <c r="D40" s="15" t="s">
        <v>349</v>
      </c>
      <c r="E40" s="15" t="s">
        <v>350</v>
      </c>
      <c r="F40" s="15" t="s">
        <v>351</v>
      </c>
      <c r="G40" s="15" t="s">
        <v>352</v>
      </c>
      <c r="H40" s="15" t="s">
        <v>353</v>
      </c>
      <c r="I40" s="15" t="s">
        <v>354</v>
      </c>
    </row>
    <row r="41" customFormat="false" ht="23.85" hidden="false" customHeight="false" outlineLevel="0" collapsed="false">
      <c r="A41" s="17" t="s">
        <v>355</v>
      </c>
      <c r="B41" s="18" t="s">
        <v>356</v>
      </c>
      <c r="C41" s="17" t="s">
        <v>32</v>
      </c>
      <c r="D41" s="17" t="s">
        <v>357</v>
      </c>
      <c r="E41" s="17" t="s">
        <v>358</v>
      </c>
      <c r="F41" s="17" t="s">
        <v>359</v>
      </c>
      <c r="G41" s="17" t="s">
        <v>360</v>
      </c>
      <c r="H41" s="17" t="s">
        <v>361</v>
      </c>
      <c r="I41" s="17" t="s">
        <v>362</v>
      </c>
    </row>
    <row r="42" customFormat="false" ht="15" hidden="false" customHeight="false" outlineLevel="0" collapsed="false">
      <c r="A42" s="15" t="s">
        <v>363</v>
      </c>
      <c r="B42" s="16" t="s">
        <v>364</v>
      </c>
      <c r="C42" s="15" t="s">
        <v>32</v>
      </c>
      <c r="D42" s="15" t="s">
        <v>365</v>
      </c>
      <c r="E42" s="15" t="s">
        <v>350</v>
      </c>
      <c r="F42" s="15"/>
      <c r="G42" s="15" t="s">
        <v>366</v>
      </c>
      <c r="H42" s="15" t="s">
        <v>367</v>
      </c>
      <c r="I42" s="15" t="s">
        <v>368</v>
      </c>
    </row>
    <row r="43" customFormat="false" ht="23.85" hidden="false" customHeight="false" outlineLevel="0" collapsed="false">
      <c r="A43" s="17" t="s">
        <v>369</v>
      </c>
      <c r="B43" s="18" t="s">
        <v>370</v>
      </c>
      <c r="C43" s="17" t="s">
        <v>32</v>
      </c>
      <c r="D43" s="17" t="s">
        <v>371</v>
      </c>
      <c r="E43" s="17" t="s">
        <v>358</v>
      </c>
      <c r="F43" s="17"/>
      <c r="G43" s="17" t="s">
        <v>372</v>
      </c>
      <c r="H43" s="17" t="s">
        <v>373</v>
      </c>
      <c r="I43" s="17" t="s">
        <v>374</v>
      </c>
    </row>
    <row r="44" customFormat="false" ht="15" hidden="false" customHeight="false" outlineLevel="0" collapsed="false">
      <c r="A44" s="15" t="s">
        <v>375</v>
      </c>
      <c r="B44" s="16" t="s">
        <v>376</v>
      </c>
      <c r="C44" s="15" t="s">
        <v>32</v>
      </c>
      <c r="D44" s="15" t="s">
        <v>377</v>
      </c>
      <c r="E44" s="15" t="s">
        <v>378</v>
      </c>
      <c r="F44" s="15" t="s">
        <v>379</v>
      </c>
      <c r="G44" s="15" t="s">
        <v>380</v>
      </c>
      <c r="H44" s="15" t="s">
        <v>381</v>
      </c>
      <c r="I44" s="15" t="s">
        <v>382</v>
      </c>
    </row>
    <row r="45" customFormat="false" ht="15" hidden="false" customHeight="false" outlineLevel="0" collapsed="false">
      <c r="A45" s="17" t="s">
        <v>383</v>
      </c>
      <c r="B45" s="18" t="s">
        <v>384</v>
      </c>
      <c r="C45" s="17" t="s">
        <v>32</v>
      </c>
      <c r="D45" s="17" t="s">
        <v>385</v>
      </c>
      <c r="E45" s="17" t="s">
        <v>386</v>
      </c>
      <c r="F45" s="17" t="s">
        <v>387</v>
      </c>
      <c r="G45" s="17" t="s">
        <v>388</v>
      </c>
      <c r="H45" s="17" t="s">
        <v>389</v>
      </c>
      <c r="I45" s="17" t="s">
        <v>390</v>
      </c>
    </row>
    <row r="46" customFormat="false" ht="23.85" hidden="false" customHeight="false" outlineLevel="0" collapsed="false">
      <c r="A46" s="15" t="s">
        <v>391</v>
      </c>
      <c r="B46" s="16" t="s">
        <v>392</v>
      </c>
      <c r="C46" s="15" t="s">
        <v>33</v>
      </c>
      <c r="D46" s="15" t="s">
        <v>393</v>
      </c>
      <c r="E46" s="15" t="s">
        <v>394</v>
      </c>
      <c r="F46" s="15" t="s">
        <v>395</v>
      </c>
      <c r="G46" s="15" t="s">
        <v>396</v>
      </c>
      <c r="H46" s="15" t="s">
        <v>397</v>
      </c>
      <c r="I46" s="15" t="s">
        <v>398</v>
      </c>
    </row>
    <row r="47" customFormat="false" ht="23.85" hidden="false" customHeight="false" outlineLevel="0" collapsed="false">
      <c r="A47" s="17" t="s">
        <v>399</v>
      </c>
      <c r="B47" s="18" t="s">
        <v>400</v>
      </c>
      <c r="C47" s="17" t="s">
        <v>33</v>
      </c>
      <c r="D47" s="17" t="s">
        <v>401</v>
      </c>
      <c r="E47" s="17" t="s">
        <v>402</v>
      </c>
      <c r="F47" s="17"/>
      <c r="G47" s="17" t="s">
        <v>403</v>
      </c>
      <c r="H47" s="17" t="s">
        <v>404</v>
      </c>
      <c r="I47" s="17" t="s">
        <v>405</v>
      </c>
    </row>
    <row r="48" customFormat="false" ht="23.85" hidden="false" customHeight="false" outlineLevel="0" collapsed="false">
      <c r="A48" s="15" t="s">
        <v>406</v>
      </c>
      <c r="B48" s="16" t="s">
        <v>407</v>
      </c>
      <c r="C48" s="15" t="s">
        <v>32</v>
      </c>
      <c r="D48" s="15" t="s">
        <v>408</v>
      </c>
      <c r="E48" s="15" t="s">
        <v>409</v>
      </c>
      <c r="F48" s="15" t="s">
        <v>410</v>
      </c>
      <c r="G48" s="15" t="s">
        <v>411</v>
      </c>
      <c r="H48" s="15" t="s">
        <v>412</v>
      </c>
      <c r="I48" s="15" t="s">
        <v>413</v>
      </c>
    </row>
    <row r="49" customFormat="false" ht="23.85" hidden="false" customHeight="false" outlineLevel="0" collapsed="false">
      <c r="A49" s="17" t="s">
        <v>414</v>
      </c>
      <c r="B49" s="18" t="s">
        <v>415</v>
      </c>
      <c r="C49" s="17" t="s">
        <v>32</v>
      </c>
      <c r="D49" s="17"/>
      <c r="E49" s="17" t="s">
        <v>416</v>
      </c>
      <c r="F49" s="17"/>
      <c r="G49" s="17" t="s">
        <v>417</v>
      </c>
      <c r="H49" s="17" t="s">
        <v>418</v>
      </c>
      <c r="I49" s="17" t="s">
        <v>419</v>
      </c>
    </row>
    <row r="50" customFormat="false" ht="23.85" hidden="false" customHeight="false" outlineLevel="0" collapsed="false">
      <c r="A50" s="15" t="s">
        <v>420</v>
      </c>
      <c r="B50" s="16" t="s">
        <v>421</v>
      </c>
      <c r="C50" s="15" t="s">
        <v>32</v>
      </c>
      <c r="D50" s="15" t="s">
        <v>422</v>
      </c>
      <c r="E50" s="15" t="s">
        <v>423</v>
      </c>
      <c r="F50" s="15" t="s">
        <v>424</v>
      </c>
      <c r="G50" s="15" t="s">
        <v>425</v>
      </c>
      <c r="H50" s="15" t="s">
        <v>426</v>
      </c>
      <c r="I50" s="15" t="s">
        <v>427</v>
      </c>
    </row>
    <row r="51" customFormat="false" ht="15" hidden="false" customHeight="false" outlineLevel="0" collapsed="false">
      <c r="A51" s="17" t="s">
        <v>428</v>
      </c>
      <c r="B51" s="18" t="s">
        <v>429</v>
      </c>
      <c r="C51" s="17" t="s">
        <v>32</v>
      </c>
      <c r="D51" s="17" t="s">
        <v>430</v>
      </c>
      <c r="E51" s="17" t="s">
        <v>416</v>
      </c>
      <c r="F51" s="17"/>
      <c r="G51" s="17" t="s">
        <v>431</v>
      </c>
      <c r="H51" s="17" t="s">
        <v>432</v>
      </c>
      <c r="I51" s="17" t="s">
        <v>433</v>
      </c>
    </row>
    <row r="52" customFormat="false" ht="15" hidden="false" customHeight="false" outlineLevel="0" collapsed="false">
      <c r="A52" s="15" t="s">
        <v>434</v>
      </c>
      <c r="B52" s="16" t="s">
        <v>435</v>
      </c>
      <c r="C52" s="15" t="s">
        <v>32</v>
      </c>
      <c r="D52" s="15" t="s">
        <v>436</v>
      </c>
      <c r="E52" s="15" t="s">
        <v>437</v>
      </c>
      <c r="F52" s="15"/>
      <c r="G52" s="15" t="s">
        <v>438</v>
      </c>
      <c r="H52" s="15" t="s">
        <v>439</v>
      </c>
      <c r="I52" s="15" t="s">
        <v>440</v>
      </c>
    </row>
    <row r="53" customFormat="false" ht="23.85" hidden="false" customHeight="false" outlineLevel="0" collapsed="false">
      <c r="A53" s="17" t="s">
        <v>441</v>
      </c>
      <c r="B53" s="18" t="s">
        <v>442</v>
      </c>
      <c r="C53" s="17" t="s">
        <v>32</v>
      </c>
      <c r="D53" s="17" t="s">
        <v>443</v>
      </c>
      <c r="E53" s="17" t="s">
        <v>444</v>
      </c>
      <c r="F53" s="17"/>
      <c r="G53" s="17" t="s">
        <v>445</v>
      </c>
      <c r="H53" s="17" t="s">
        <v>446</v>
      </c>
      <c r="I53" s="17" t="s">
        <v>447</v>
      </c>
    </row>
    <row r="54" customFormat="false" ht="23.85" hidden="false" customHeight="false" outlineLevel="0" collapsed="false">
      <c r="A54" s="15" t="s">
        <v>448</v>
      </c>
      <c r="B54" s="16" t="s">
        <v>449</v>
      </c>
      <c r="C54" s="15" t="s">
        <v>34</v>
      </c>
      <c r="D54" s="15" t="s">
        <v>450</v>
      </c>
      <c r="E54" s="15" t="s">
        <v>451</v>
      </c>
      <c r="F54" s="15" t="s">
        <v>452</v>
      </c>
      <c r="G54" s="15" t="s">
        <v>453</v>
      </c>
      <c r="H54" s="15" t="s">
        <v>454</v>
      </c>
      <c r="I54" s="15" t="s">
        <v>455</v>
      </c>
    </row>
    <row r="55" customFormat="false" ht="23.85" hidden="false" customHeight="false" outlineLevel="0" collapsed="false">
      <c r="A55" s="17" t="s">
        <v>456</v>
      </c>
      <c r="B55" s="18" t="s">
        <v>457</v>
      </c>
      <c r="C55" s="17" t="s">
        <v>34</v>
      </c>
      <c r="D55" s="17" t="s">
        <v>458</v>
      </c>
      <c r="E55" s="17" t="s">
        <v>459</v>
      </c>
      <c r="F55" s="17" t="s">
        <v>452</v>
      </c>
      <c r="G55" s="17" t="s">
        <v>460</v>
      </c>
      <c r="H55" s="17" t="s">
        <v>461</v>
      </c>
      <c r="I55" s="17" t="s">
        <v>462</v>
      </c>
    </row>
    <row r="56" customFormat="false" ht="23.85" hidden="false" customHeight="false" outlineLevel="0" collapsed="false">
      <c r="A56" s="15" t="s">
        <v>463</v>
      </c>
      <c r="B56" s="16" t="s">
        <v>464</v>
      </c>
      <c r="C56" s="15" t="s">
        <v>34</v>
      </c>
      <c r="D56" s="15" t="s">
        <v>465</v>
      </c>
      <c r="E56" s="15" t="s">
        <v>466</v>
      </c>
      <c r="F56" s="15"/>
      <c r="G56" s="15" t="s">
        <v>467</v>
      </c>
      <c r="H56" s="15" t="s">
        <v>468</v>
      </c>
      <c r="I56" s="15" t="s">
        <v>469</v>
      </c>
    </row>
    <row r="57" customFormat="false" ht="23.85" hidden="false" customHeight="false" outlineLevel="0" collapsed="false">
      <c r="A57" s="17" t="s">
        <v>470</v>
      </c>
      <c r="B57" s="18" t="s">
        <v>471</v>
      </c>
      <c r="C57" s="17" t="s">
        <v>34</v>
      </c>
      <c r="D57" s="17" t="s">
        <v>472</v>
      </c>
      <c r="E57" s="17" t="s">
        <v>473</v>
      </c>
      <c r="F57" s="17"/>
      <c r="G57" s="17" t="s">
        <v>474</v>
      </c>
      <c r="H57" s="17" t="s">
        <v>475</v>
      </c>
      <c r="I57" s="17" t="s">
        <v>476</v>
      </c>
    </row>
    <row r="58" customFormat="false" ht="23.85" hidden="false" customHeight="false" outlineLevel="0" collapsed="false">
      <c r="A58" s="15" t="s">
        <v>477</v>
      </c>
      <c r="B58" s="16" t="s">
        <v>478</v>
      </c>
      <c r="C58" s="15" t="s">
        <v>34</v>
      </c>
      <c r="D58" s="15" t="s">
        <v>479</v>
      </c>
      <c r="E58" s="15" t="s">
        <v>480</v>
      </c>
      <c r="F58" s="15" t="s">
        <v>481</v>
      </c>
      <c r="G58" s="15" t="s">
        <v>482</v>
      </c>
      <c r="H58" s="15" t="s">
        <v>483</v>
      </c>
      <c r="I58" s="15" t="s">
        <v>484</v>
      </c>
    </row>
    <row r="59" customFormat="false" ht="23.85" hidden="false" customHeight="false" outlineLevel="0" collapsed="false">
      <c r="A59" s="17" t="s">
        <v>485</v>
      </c>
      <c r="B59" s="18" t="s">
        <v>486</v>
      </c>
      <c r="C59" s="17" t="s">
        <v>34</v>
      </c>
      <c r="D59" s="17" t="s">
        <v>487</v>
      </c>
      <c r="E59" s="17" t="s">
        <v>488</v>
      </c>
      <c r="F59" s="17"/>
      <c r="G59" s="17" t="s">
        <v>489</v>
      </c>
      <c r="H59" s="17" t="s">
        <v>490</v>
      </c>
      <c r="I59" s="17" t="s">
        <v>491</v>
      </c>
    </row>
    <row r="60" customFormat="false" ht="23.85" hidden="false" customHeight="false" outlineLevel="0" collapsed="false">
      <c r="A60" s="15" t="s">
        <v>492</v>
      </c>
      <c r="B60" s="16" t="s">
        <v>493</v>
      </c>
      <c r="C60" s="15" t="s">
        <v>34</v>
      </c>
      <c r="D60" s="15" t="s">
        <v>494</v>
      </c>
      <c r="E60" s="15" t="s">
        <v>495</v>
      </c>
      <c r="F60" s="15" t="s">
        <v>496</v>
      </c>
      <c r="G60" s="15" t="s">
        <v>497</v>
      </c>
      <c r="H60" s="15" t="s">
        <v>498</v>
      </c>
      <c r="I60" s="15" t="s">
        <v>499</v>
      </c>
    </row>
    <row r="61" customFormat="false" ht="23.85" hidden="false" customHeight="false" outlineLevel="0" collapsed="false">
      <c r="A61" s="17" t="s">
        <v>500</v>
      </c>
      <c r="B61" s="18" t="s">
        <v>501</v>
      </c>
      <c r="C61" s="17" t="s">
        <v>34</v>
      </c>
      <c r="D61" s="17" t="s">
        <v>502</v>
      </c>
      <c r="E61" s="17" t="s">
        <v>503</v>
      </c>
      <c r="F61" s="17" t="s">
        <v>504</v>
      </c>
      <c r="G61" s="17" t="s">
        <v>505</v>
      </c>
      <c r="H61" s="17" t="s">
        <v>506</v>
      </c>
      <c r="I61" s="17" t="s">
        <v>507</v>
      </c>
    </row>
    <row r="62" customFormat="false" ht="23.85" hidden="false" customHeight="false" outlineLevel="0" collapsed="false">
      <c r="A62" s="15" t="s">
        <v>508</v>
      </c>
      <c r="B62" s="16" t="s">
        <v>509</v>
      </c>
      <c r="C62" s="15" t="s">
        <v>34</v>
      </c>
      <c r="D62" s="15" t="s">
        <v>510</v>
      </c>
      <c r="E62" s="15" t="s">
        <v>511</v>
      </c>
      <c r="F62" s="15" t="s">
        <v>512</v>
      </c>
      <c r="G62" s="15" t="s">
        <v>513</v>
      </c>
      <c r="H62" s="15" t="s">
        <v>514</v>
      </c>
      <c r="I62" s="15" t="s">
        <v>515</v>
      </c>
    </row>
    <row r="63" customFormat="false" ht="15" hidden="false" customHeight="false" outlineLevel="0" collapsed="false">
      <c r="A63" s="17" t="s">
        <v>516</v>
      </c>
      <c r="B63" s="18" t="s">
        <v>517</v>
      </c>
      <c r="C63" s="17" t="s">
        <v>34</v>
      </c>
      <c r="D63" s="17" t="s">
        <v>518</v>
      </c>
      <c r="E63" s="17" t="s">
        <v>519</v>
      </c>
      <c r="F63" s="17"/>
      <c r="G63" s="17" t="s">
        <v>520</v>
      </c>
      <c r="H63" s="17" t="s">
        <v>521</v>
      </c>
      <c r="I63" s="17" t="s">
        <v>522</v>
      </c>
    </row>
    <row r="64" customFormat="false" ht="23.85" hidden="false" customHeight="false" outlineLevel="0" collapsed="false">
      <c r="A64" s="15" t="s">
        <v>523</v>
      </c>
      <c r="B64" s="16" t="s">
        <v>524</v>
      </c>
      <c r="C64" s="15" t="s">
        <v>34</v>
      </c>
      <c r="D64" s="15" t="s">
        <v>525</v>
      </c>
      <c r="E64" s="15" t="s">
        <v>526</v>
      </c>
      <c r="F64" s="15"/>
      <c r="G64" s="15" t="s">
        <v>527</v>
      </c>
      <c r="H64" s="15" t="s">
        <v>528</v>
      </c>
      <c r="I64" s="15" t="s">
        <v>529</v>
      </c>
    </row>
    <row r="65" customFormat="false" ht="23.85" hidden="false" customHeight="false" outlineLevel="0" collapsed="false">
      <c r="A65" s="17" t="s">
        <v>530</v>
      </c>
      <c r="B65" s="18" t="s">
        <v>531</v>
      </c>
      <c r="C65" s="17" t="s">
        <v>34</v>
      </c>
      <c r="D65" s="17" t="s">
        <v>532</v>
      </c>
      <c r="E65" s="17" t="s">
        <v>533</v>
      </c>
      <c r="F65" s="17"/>
      <c r="G65" s="17" t="s">
        <v>534</v>
      </c>
      <c r="H65" s="17" t="s">
        <v>535</v>
      </c>
      <c r="I65" s="17" t="s">
        <v>536</v>
      </c>
    </row>
    <row r="66" customFormat="false" ht="23.85" hidden="false" customHeight="false" outlineLevel="0" collapsed="false">
      <c r="A66" s="15" t="s">
        <v>537</v>
      </c>
      <c r="B66" s="16" t="s">
        <v>538</v>
      </c>
      <c r="C66" s="15" t="s">
        <v>34</v>
      </c>
      <c r="D66" s="15" t="s">
        <v>539</v>
      </c>
      <c r="E66" s="15" t="s">
        <v>533</v>
      </c>
      <c r="F66" s="15"/>
      <c r="G66" s="15" t="s">
        <v>540</v>
      </c>
      <c r="H66" s="15" t="s">
        <v>541</v>
      </c>
      <c r="I66" s="15" t="s">
        <v>542</v>
      </c>
    </row>
    <row r="67" customFormat="false" ht="23.85" hidden="false" customHeight="false" outlineLevel="0" collapsed="false">
      <c r="A67" s="17" t="s">
        <v>543</v>
      </c>
      <c r="B67" s="18" t="s">
        <v>544</v>
      </c>
      <c r="C67" s="17" t="s">
        <v>34</v>
      </c>
      <c r="D67" s="17" t="s">
        <v>545</v>
      </c>
      <c r="E67" s="17" t="s">
        <v>546</v>
      </c>
      <c r="F67" s="17"/>
      <c r="G67" s="17" t="s">
        <v>547</v>
      </c>
      <c r="H67" s="17" t="s">
        <v>548</v>
      </c>
      <c r="I67" s="17" t="s">
        <v>549</v>
      </c>
    </row>
    <row r="68" customFormat="false" ht="23.85" hidden="false" customHeight="false" outlineLevel="0" collapsed="false">
      <c r="A68" s="15" t="s">
        <v>550</v>
      </c>
      <c r="B68" s="16" t="s">
        <v>551</v>
      </c>
      <c r="C68" s="15" t="s">
        <v>34</v>
      </c>
      <c r="D68" s="15" t="s">
        <v>552</v>
      </c>
      <c r="E68" s="15" t="s">
        <v>546</v>
      </c>
      <c r="F68" s="15" t="s">
        <v>553</v>
      </c>
      <c r="G68" s="15" t="s">
        <v>554</v>
      </c>
      <c r="H68" s="15" t="s">
        <v>555</v>
      </c>
      <c r="I68" s="15" t="s">
        <v>556</v>
      </c>
    </row>
    <row r="69" customFormat="false" ht="15" hidden="false" customHeight="false" outlineLevel="0" collapsed="false">
      <c r="A69" s="17" t="s">
        <v>557</v>
      </c>
      <c r="B69" s="18" t="s">
        <v>558</v>
      </c>
      <c r="C69" s="17" t="s">
        <v>34</v>
      </c>
      <c r="D69" s="17" t="s">
        <v>559</v>
      </c>
      <c r="E69" s="17" t="s">
        <v>560</v>
      </c>
      <c r="F69" s="17"/>
      <c r="G69" s="17" t="s">
        <v>561</v>
      </c>
      <c r="H69" s="17" t="s">
        <v>562</v>
      </c>
      <c r="I69" s="17" t="s">
        <v>563</v>
      </c>
    </row>
    <row r="70" customFormat="false" ht="23.85" hidden="false" customHeight="false" outlineLevel="0" collapsed="false">
      <c r="A70" s="15" t="s">
        <v>564</v>
      </c>
      <c r="B70" s="16" t="s">
        <v>565</v>
      </c>
      <c r="C70" s="15" t="s">
        <v>34</v>
      </c>
      <c r="D70" s="15" t="s">
        <v>566</v>
      </c>
      <c r="E70" s="15" t="s">
        <v>567</v>
      </c>
      <c r="F70" s="15"/>
      <c r="G70" s="15" t="s">
        <v>568</v>
      </c>
      <c r="H70" s="15" t="s">
        <v>224</v>
      </c>
      <c r="I70" s="15" t="s">
        <v>569</v>
      </c>
    </row>
    <row r="71" customFormat="false" ht="15" hidden="false" customHeight="false" outlineLevel="0" collapsed="false">
      <c r="A71" s="17" t="s">
        <v>570</v>
      </c>
      <c r="B71" s="18" t="s">
        <v>571</v>
      </c>
      <c r="C71" s="17" t="s">
        <v>35</v>
      </c>
      <c r="D71" s="17" t="s">
        <v>572</v>
      </c>
      <c r="E71" s="17" t="s">
        <v>573</v>
      </c>
      <c r="F71" s="17" t="s">
        <v>574</v>
      </c>
      <c r="G71" s="17" t="s">
        <v>575</v>
      </c>
      <c r="H71" s="17" t="s">
        <v>576</v>
      </c>
      <c r="I71" s="17" t="s">
        <v>577</v>
      </c>
    </row>
    <row r="72" customFormat="false" ht="15" hidden="false" customHeight="false" outlineLevel="0" collapsed="false">
      <c r="A72" s="15" t="s">
        <v>578</v>
      </c>
      <c r="B72" s="16" t="s">
        <v>579</v>
      </c>
      <c r="C72" s="15" t="s">
        <v>35</v>
      </c>
      <c r="D72" s="15" t="s">
        <v>580</v>
      </c>
      <c r="E72" s="15" t="s">
        <v>573</v>
      </c>
      <c r="F72" s="15" t="s">
        <v>581</v>
      </c>
      <c r="G72" s="15" t="s">
        <v>582</v>
      </c>
      <c r="H72" s="15" t="s">
        <v>583</v>
      </c>
      <c r="I72" s="15" t="s">
        <v>584</v>
      </c>
    </row>
    <row r="73" customFormat="false" ht="23.85" hidden="false" customHeight="false" outlineLevel="0" collapsed="false">
      <c r="A73" s="17" t="s">
        <v>585</v>
      </c>
      <c r="B73" s="18" t="s">
        <v>586</v>
      </c>
      <c r="C73" s="17" t="s">
        <v>35</v>
      </c>
      <c r="D73" s="17" t="s">
        <v>587</v>
      </c>
      <c r="E73" s="17" t="s">
        <v>588</v>
      </c>
      <c r="F73" s="17" t="s">
        <v>589</v>
      </c>
      <c r="G73" s="17" t="s">
        <v>590</v>
      </c>
      <c r="H73" s="17" t="s">
        <v>591</v>
      </c>
      <c r="I73" s="17" t="s">
        <v>592</v>
      </c>
    </row>
    <row r="74" customFormat="false" ht="23.85" hidden="false" customHeight="false" outlineLevel="0" collapsed="false">
      <c r="A74" s="15" t="s">
        <v>593</v>
      </c>
      <c r="B74" s="16" t="s">
        <v>594</v>
      </c>
      <c r="C74" s="15" t="s">
        <v>35</v>
      </c>
      <c r="D74" s="15" t="s">
        <v>595</v>
      </c>
      <c r="E74" s="15" t="s">
        <v>596</v>
      </c>
      <c r="F74" s="15" t="s">
        <v>597</v>
      </c>
      <c r="G74" s="15" t="s">
        <v>598</v>
      </c>
      <c r="H74" s="15" t="s">
        <v>599</v>
      </c>
      <c r="I74" s="15" t="s">
        <v>600</v>
      </c>
    </row>
    <row r="75" customFormat="false" ht="23.85" hidden="false" customHeight="false" outlineLevel="0" collapsed="false">
      <c r="A75" s="17" t="s">
        <v>601</v>
      </c>
      <c r="B75" s="18" t="s">
        <v>602</v>
      </c>
      <c r="C75" s="17" t="s">
        <v>35</v>
      </c>
      <c r="D75" s="17" t="s">
        <v>603</v>
      </c>
      <c r="E75" s="17" t="s">
        <v>604</v>
      </c>
      <c r="F75" s="17"/>
      <c r="G75" s="17" t="s">
        <v>605</v>
      </c>
      <c r="H75" s="17" t="s">
        <v>606</v>
      </c>
      <c r="I75" s="17" t="s">
        <v>607</v>
      </c>
    </row>
    <row r="76" customFormat="false" ht="23.85" hidden="false" customHeight="false" outlineLevel="0" collapsed="false">
      <c r="A76" s="15" t="s">
        <v>608</v>
      </c>
      <c r="B76" s="16" t="s">
        <v>609</v>
      </c>
      <c r="C76" s="15" t="s">
        <v>35</v>
      </c>
      <c r="D76" s="15" t="s">
        <v>610</v>
      </c>
      <c r="E76" s="15" t="s">
        <v>611</v>
      </c>
      <c r="F76" s="15" t="s">
        <v>612</v>
      </c>
      <c r="G76" s="15" t="s">
        <v>613</v>
      </c>
      <c r="H76" s="15" t="s">
        <v>614</v>
      </c>
      <c r="I76" s="15" t="s">
        <v>615</v>
      </c>
    </row>
    <row r="77" customFormat="false" ht="23.85" hidden="false" customHeight="false" outlineLevel="0" collapsed="false">
      <c r="A77" s="17" t="s">
        <v>616</v>
      </c>
      <c r="B77" s="18" t="s">
        <v>617</v>
      </c>
      <c r="C77" s="17" t="s">
        <v>35</v>
      </c>
      <c r="D77" s="17"/>
      <c r="E77" s="17" t="s">
        <v>618</v>
      </c>
      <c r="F77" s="17"/>
      <c r="G77" s="17" t="s">
        <v>619</v>
      </c>
      <c r="H77" s="17" t="s">
        <v>620</v>
      </c>
      <c r="I77" s="17" t="s">
        <v>621</v>
      </c>
    </row>
    <row r="78" customFormat="false" ht="23.85" hidden="false" customHeight="false" outlineLevel="0" collapsed="false">
      <c r="A78" s="15" t="s">
        <v>622</v>
      </c>
      <c r="B78" s="16" t="s">
        <v>623</v>
      </c>
      <c r="C78" s="15" t="s">
        <v>35</v>
      </c>
      <c r="D78" s="15" t="s">
        <v>624</v>
      </c>
      <c r="E78" s="15" t="s">
        <v>625</v>
      </c>
      <c r="F78" s="15" t="s">
        <v>626</v>
      </c>
      <c r="G78" s="15" t="s">
        <v>627</v>
      </c>
      <c r="H78" s="15" t="s">
        <v>628</v>
      </c>
      <c r="I78" s="15" t="s">
        <v>629</v>
      </c>
    </row>
    <row r="79" customFormat="false" ht="23.85" hidden="false" customHeight="false" outlineLevel="0" collapsed="false">
      <c r="A79" s="17" t="s">
        <v>630</v>
      </c>
      <c r="B79" s="18" t="s">
        <v>631</v>
      </c>
      <c r="C79" s="17" t="s">
        <v>35</v>
      </c>
      <c r="D79" s="17" t="s">
        <v>632</v>
      </c>
      <c r="E79" s="17" t="s">
        <v>633</v>
      </c>
      <c r="F79" s="17" t="s">
        <v>634</v>
      </c>
      <c r="G79" s="17" t="s">
        <v>635</v>
      </c>
      <c r="H79" s="17" t="s">
        <v>636</v>
      </c>
      <c r="I79" s="17" t="s">
        <v>637</v>
      </c>
    </row>
    <row r="80" customFormat="false" ht="15" hidden="false" customHeight="false" outlineLevel="0" collapsed="false">
      <c r="A80" s="15" t="s">
        <v>638</v>
      </c>
      <c r="B80" s="16" t="s">
        <v>639</v>
      </c>
      <c r="C80" s="15" t="s">
        <v>35</v>
      </c>
      <c r="D80" s="15" t="s">
        <v>640</v>
      </c>
      <c r="E80" s="15" t="s">
        <v>625</v>
      </c>
      <c r="F80" s="15" t="s">
        <v>641</v>
      </c>
      <c r="G80" s="15" t="s">
        <v>642</v>
      </c>
      <c r="H80" s="15" t="s">
        <v>643</v>
      </c>
      <c r="I80" s="15" t="s">
        <v>644</v>
      </c>
    </row>
    <row r="81" customFormat="false" ht="15" hidden="false" customHeight="false" outlineLevel="0" collapsed="false">
      <c r="A81" s="17" t="s">
        <v>645</v>
      </c>
      <c r="B81" s="18" t="s">
        <v>646</v>
      </c>
      <c r="C81" s="17" t="s">
        <v>35</v>
      </c>
      <c r="D81" s="17" t="s">
        <v>647</v>
      </c>
      <c r="E81" s="17" t="s">
        <v>648</v>
      </c>
      <c r="F81" s="17"/>
      <c r="G81" s="17" t="s">
        <v>649</v>
      </c>
      <c r="H81" s="17" t="s">
        <v>650</v>
      </c>
      <c r="I81" s="17" t="s">
        <v>651</v>
      </c>
    </row>
    <row r="82" customFormat="false" ht="23.85" hidden="false" customHeight="false" outlineLevel="0" collapsed="false">
      <c r="A82" s="15" t="s">
        <v>652</v>
      </c>
      <c r="B82" s="16" t="s">
        <v>653</v>
      </c>
      <c r="C82" s="15" t="s">
        <v>35</v>
      </c>
      <c r="D82" s="15" t="s">
        <v>654</v>
      </c>
      <c r="E82" s="15" t="s">
        <v>655</v>
      </c>
      <c r="F82" s="15" t="s">
        <v>656</v>
      </c>
      <c r="G82" s="15" t="s">
        <v>657</v>
      </c>
      <c r="H82" s="15" t="s">
        <v>658</v>
      </c>
      <c r="I82" s="15" t="s">
        <v>659</v>
      </c>
    </row>
    <row r="83" customFormat="false" ht="15" hidden="false" customHeight="false" outlineLevel="0" collapsed="false">
      <c r="A83" s="17" t="s">
        <v>660</v>
      </c>
      <c r="B83" s="18" t="s">
        <v>661</v>
      </c>
      <c r="C83" s="17" t="s">
        <v>35</v>
      </c>
      <c r="D83" s="17" t="s">
        <v>662</v>
      </c>
      <c r="E83" s="17" t="s">
        <v>663</v>
      </c>
      <c r="F83" s="17"/>
      <c r="G83" s="17" t="s">
        <v>664</v>
      </c>
      <c r="H83" s="17" t="s">
        <v>665</v>
      </c>
      <c r="I83" s="17" t="s">
        <v>666</v>
      </c>
    </row>
    <row r="84" customFormat="false" ht="23.85" hidden="false" customHeight="false" outlineLevel="0" collapsed="false">
      <c r="A84" s="15" t="s">
        <v>667</v>
      </c>
      <c r="B84" s="16" t="s">
        <v>668</v>
      </c>
      <c r="C84" s="15" t="s">
        <v>35</v>
      </c>
      <c r="D84" s="15" t="s">
        <v>669</v>
      </c>
      <c r="E84" s="15" t="s">
        <v>670</v>
      </c>
      <c r="F84" s="15" t="s">
        <v>671</v>
      </c>
      <c r="G84" s="15" t="s">
        <v>672</v>
      </c>
      <c r="H84" s="15" t="s">
        <v>673</v>
      </c>
      <c r="I84" s="15" t="s">
        <v>674</v>
      </c>
    </row>
    <row r="85" customFormat="false" ht="15" hidden="false" customHeight="false" outlineLevel="0" collapsed="false">
      <c r="A85" s="17" t="s">
        <v>675</v>
      </c>
      <c r="B85" s="18" t="s">
        <v>676</v>
      </c>
      <c r="C85" s="17" t="s">
        <v>35</v>
      </c>
      <c r="D85" s="17" t="s">
        <v>677</v>
      </c>
      <c r="E85" s="17" t="s">
        <v>678</v>
      </c>
      <c r="F85" s="17"/>
      <c r="G85" s="17" t="s">
        <v>679</v>
      </c>
      <c r="H85" s="17" t="s">
        <v>680</v>
      </c>
      <c r="I85" s="17" t="s">
        <v>681</v>
      </c>
    </row>
    <row r="86" customFormat="false" ht="15" hidden="false" customHeight="false" outlineLevel="0" collapsed="false">
      <c r="A86" s="15" t="s">
        <v>682</v>
      </c>
      <c r="B86" s="16" t="s">
        <v>683</v>
      </c>
      <c r="C86" s="15" t="s">
        <v>35</v>
      </c>
      <c r="D86" s="15" t="s">
        <v>684</v>
      </c>
      <c r="E86" s="15" t="s">
        <v>685</v>
      </c>
      <c r="F86" s="15"/>
      <c r="G86" s="15" t="s">
        <v>686</v>
      </c>
      <c r="H86" s="15" t="s">
        <v>687</v>
      </c>
      <c r="I86" s="15" t="s">
        <v>688</v>
      </c>
    </row>
    <row r="87" customFormat="false" ht="23.85" hidden="false" customHeight="false" outlineLevel="0" collapsed="false">
      <c r="A87" s="17" t="s">
        <v>689</v>
      </c>
      <c r="B87" s="18" t="s">
        <v>690</v>
      </c>
      <c r="C87" s="17" t="s">
        <v>36</v>
      </c>
      <c r="D87" s="17" t="s">
        <v>691</v>
      </c>
      <c r="E87" s="17" t="s">
        <v>692</v>
      </c>
      <c r="F87" s="17" t="s">
        <v>693</v>
      </c>
      <c r="G87" s="17" t="s">
        <v>694</v>
      </c>
      <c r="H87" s="17" t="s">
        <v>695</v>
      </c>
      <c r="I87" s="17" t="s">
        <v>696</v>
      </c>
    </row>
    <row r="88" customFormat="false" ht="23.85" hidden="false" customHeight="false" outlineLevel="0" collapsed="false">
      <c r="A88" s="15" t="s">
        <v>697</v>
      </c>
      <c r="B88" s="16" t="s">
        <v>698</v>
      </c>
      <c r="C88" s="15" t="s">
        <v>36</v>
      </c>
      <c r="D88" s="15" t="s">
        <v>699</v>
      </c>
      <c r="E88" s="15" t="s">
        <v>700</v>
      </c>
      <c r="F88" s="15" t="s">
        <v>701</v>
      </c>
      <c r="G88" s="15" t="s">
        <v>702</v>
      </c>
      <c r="H88" s="15" t="s">
        <v>703</v>
      </c>
      <c r="I88" s="15" t="s">
        <v>704</v>
      </c>
    </row>
    <row r="89" customFormat="false" ht="23.85" hidden="false" customHeight="false" outlineLevel="0" collapsed="false">
      <c r="A89" s="17" t="s">
        <v>705</v>
      </c>
      <c r="B89" s="18" t="s">
        <v>706</v>
      </c>
      <c r="C89" s="17" t="s">
        <v>36</v>
      </c>
      <c r="D89" s="17" t="s">
        <v>707</v>
      </c>
      <c r="E89" s="17" t="s">
        <v>708</v>
      </c>
      <c r="F89" s="17" t="s">
        <v>709</v>
      </c>
      <c r="G89" s="17" t="s">
        <v>710</v>
      </c>
      <c r="H89" s="17" t="s">
        <v>711</v>
      </c>
      <c r="I89" s="17" t="s">
        <v>712</v>
      </c>
    </row>
    <row r="90" customFormat="false" ht="23.85" hidden="false" customHeight="false" outlineLevel="0" collapsed="false">
      <c r="A90" s="15" t="s">
        <v>713</v>
      </c>
      <c r="B90" s="16" t="s">
        <v>714</v>
      </c>
      <c r="C90" s="15" t="s">
        <v>36</v>
      </c>
      <c r="D90" s="15"/>
      <c r="E90" s="15" t="s">
        <v>715</v>
      </c>
      <c r="F90" s="15"/>
      <c r="G90" s="15" t="s">
        <v>716</v>
      </c>
      <c r="H90" s="15" t="s">
        <v>717</v>
      </c>
      <c r="I90" s="15" t="s">
        <v>718</v>
      </c>
    </row>
    <row r="91" customFormat="false" ht="15" hidden="false" customHeight="false" outlineLevel="0" collapsed="false">
      <c r="A91" s="17" t="s">
        <v>719</v>
      </c>
      <c r="B91" s="18" t="s">
        <v>720</v>
      </c>
      <c r="C91" s="17" t="s">
        <v>36</v>
      </c>
      <c r="D91" s="17"/>
      <c r="E91" s="17" t="s">
        <v>721</v>
      </c>
      <c r="F91" s="17"/>
      <c r="G91" s="17" t="s">
        <v>722</v>
      </c>
      <c r="H91" s="17" t="s">
        <v>723</v>
      </c>
      <c r="I91" s="17" t="s">
        <v>724</v>
      </c>
    </row>
    <row r="92" customFormat="false" ht="23.85" hidden="false" customHeight="false" outlineLevel="0" collapsed="false">
      <c r="A92" s="15" t="s">
        <v>725</v>
      </c>
      <c r="B92" s="16" t="s">
        <v>726</v>
      </c>
      <c r="C92" s="15" t="s">
        <v>37</v>
      </c>
      <c r="D92" s="15" t="s">
        <v>727</v>
      </c>
      <c r="E92" s="15" t="s">
        <v>728</v>
      </c>
      <c r="F92" s="15" t="s">
        <v>729</v>
      </c>
      <c r="G92" s="15" t="s">
        <v>730</v>
      </c>
      <c r="H92" s="15" t="s">
        <v>731</v>
      </c>
      <c r="I92" s="15" t="s">
        <v>732</v>
      </c>
    </row>
    <row r="93" customFormat="false" ht="15" hidden="false" customHeight="false" outlineLevel="0" collapsed="false">
      <c r="A93" s="17" t="s">
        <v>733</v>
      </c>
      <c r="B93" s="18" t="s">
        <v>734</v>
      </c>
      <c r="C93" s="17" t="s">
        <v>37</v>
      </c>
      <c r="D93" s="17" t="s">
        <v>735</v>
      </c>
      <c r="E93" s="17" t="s">
        <v>736</v>
      </c>
      <c r="F93" s="17"/>
      <c r="G93" s="17" t="s">
        <v>737</v>
      </c>
      <c r="H93" s="17" t="s">
        <v>738</v>
      </c>
      <c r="I93" s="17" t="s">
        <v>739</v>
      </c>
    </row>
    <row r="94" customFormat="false" ht="15" hidden="false" customHeight="false" outlineLevel="0" collapsed="false">
      <c r="A94" s="15" t="s">
        <v>740</v>
      </c>
      <c r="B94" s="16" t="s">
        <v>741</v>
      </c>
      <c r="C94" s="15" t="s">
        <v>37</v>
      </c>
      <c r="D94" s="15" t="s">
        <v>742</v>
      </c>
      <c r="E94" s="15" t="s">
        <v>743</v>
      </c>
      <c r="F94" s="15"/>
      <c r="G94" s="15" t="s">
        <v>744</v>
      </c>
      <c r="H94" s="15" t="s">
        <v>745</v>
      </c>
      <c r="I94" s="15" t="s">
        <v>746</v>
      </c>
    </row>
    <row r="95" customFormat="false" ht="15" hidden="false" customHeight="false" outlineLevel="0" collapsed="false">
      <c r="A95" s="17" t="s">
        <v>747</v>
      </c>
      <c r="B95" s="18" t="s">
        <v>748</v>
      </c>
      <c r="C95" s="17" t="s">
        <v>37</v>
      </c>
      <c r="D95" s="17" t="s">
        <v>749</v>
      </c>
      <c r="E95" s="17" t="s">
        <v>750</v>
      </c>
      <c r="F95" s="17"/>
      <c r="G95" s="17" t="s">
        <v>751</v>
      </c>
      <c r="H95" s="17" t="s">
        <v>752</v>
      </c>
      <c r="I95" s="17" t="s">
        <v>753</v>
      </c>
    </row>
    <row r="96" customFormat="false" ht="23.85" hidden="false" customHeight="false" outlineLevel="0" collapsed="false">
      <c r="A96" s="15" t="s">
        <v>754</v>
      </c>
      <c r="B96" s="16" t="s">
        <v>755</v>
      </c>
      <c r="C96" s="15" t="s">
        <v>37</v>
      </c>
      <c r="D96" s="15" t="s">
        <v>756</v>
      </c>
      <c r="E96" s="15" t="s">
        <v>757</v>
      </c>
      <c r="F96" s="15"/>
      <c r="G96" s="15" t="s">
        <v>758</v>
      </c>
      <c r="H96" s="15" t="s">
        <v>759</v>
      </c>
      <c r="I96" s="15" t="s">
        <v>760</v>
      </c>
    </row>
    <row r="97" customFormat="false" ht="15" hidden="false" customHeight="false" outlineLevel="0" collapsed="false">
      <c r="A97" s="17" t="s">
        <v>761</v>
      </c>
      <c r="B97" s="18" t="s">
        <v>762</v>
      </c>
      <c r="C97" s="17" t="s">
        <v>37</v>
      </c>
      <c r="D97" s="17" t="s">
        <v>763</v>
      </c>
      <c r="E97" s="17" t="s">
        <v>764</v>
      </c>
      <c r="F97" s="17"/>
      <c r="G97" s="17" t="s">
        <v>765</v>
      </c>
      <c r="H97" s="17" t="s">
        <v>766</v>
      </c>
      <c r="I97" s="17" t="s">
        <v>767</v>
      </c>
    </row>
    <row r="98" customFormat="false" ht="23.85" hidden="false" customHeight="false" outlineLevel="0" collapsed="false">
      <c r="A98" s="15" t="s">
        <v>768</v>
      </c>
      <c r="B98" s="16" t="s">
        <v>769</v>
      </c>
      <c r="C98" s="15" t="s">
        <v>37</v>
      </c>
      <c r="D98" s="15" t="s">
        <v>770</v>
      </c>
      <c r="E98" s="15" t="s">
        <v>771</v>
      </c>
      <c r="F98" s="15"/>
      <c r="G98" s="15" t="s">
        <v>772</v>
      </c>
      <c r="H98" s="15" t="s">
        <v>773</v>
      </c>
      <c r="I98" s="15" t="s">
        <v>774</v>
      </c>
    </row>
    <row r="99" customFormat="false" ht="23.85" hidden="false" customHeight="false" outlineLevel="0" collapsed="false">
      <c r="A99" s="17" t="s">
        <v>775</v>
      </c>
      <c r="B99" s="18" t="s">
        <v>776</v>
      </c>
      <c r="C99" s="17" t="s">
        <v>37</v>
      </c>
      <c r="D99" s="17"/>
      <c r="E99" s="17" t="s">
        <v>750</v>
      </c>
      <c r="F99" s="17"/>
      <c r="G99" s="17" t="s">
        <v>777</v>
      </c>
      <c r="H99" s="17" t="s">
        <v>778</v>
      </c>
      <c r="I99" s="17" t="s">
        <v>779</v>
      </c>
    </row>
    <row r="100" customFormat="false" ht="23.85" hidden="false" customHeight="false" outlineLevel="0" collapsed="false">
      <c r="A100" s="15" t="s">
        <v>780</v>
      </c>
      <c r="B100" s="16" t="s">
        <v>781</v>
      </c>
      <c r="C100" s="15" t="s">
        <v>38</v>
      </c>
      <c r="D100" s="15" t="s">
        <v>782</v>
      </c>
      <c r="E100" s="15" t="s">
        <v>783</v>
      </c>
      <c r="F100" s="15"/>
      <c r="G100" s="15" t="s">
        <v>784</v>
      </c>
      <c r="H100" s="15" t="s">
        <v>785</v>
      </c>
      <c r="I100" s="15" t="s">
        <v>786</v>
      </c>
    </row>
    <row r="101" customFormat="false" ht="15" hidden="false" customHeight="false" outlineLevel="0" collapsed="false">
      <c r="A101" s="17" t="s">
        <v>787</v>
      </c>
      <c r="B101" s="18" t="s">
        <v>788</v>
      </c>
      <c r="C101" s="17" t="s">
        <v>38</v>
      </c>
      <c r="D101" s="17" t="s">
        <v>789</v>
      </c>
      <c r="E101" s="17" t="s">
        <v>790</v>
      </c>
      <c r="F101" s="17"/>
      <c r="G101" s="17" t="s">
        <v>791</v>
      </c>
      <c r="H101" s="17" t="s">
        <v>792</v>
      </c>
      <c r="I101" s="17" t="s">
        <v>793</v>
      </c>
    </row>
    <row r="102" customFormat="false" ht="23.85" hidden="false" customHeight="false" outlineLevel="0" collapsed="false">
      <c r="A102" s="15" t="s">
        <v>794</v>
      </c>
      <c r="B102" s="16" t="s">
        <v>795</v>
      </c>
      <c r="C102" s="15" t="s">
        <v>39</v>
      </c>
      <c r="D102" s="15" t="s">
        <v>796</v>
      </c>
      <c r="E102" s="15" t="s">
        <v>797</v>
      </c>
      <c r="F102" s="15" t="s">
        <v>798</v>
      </c>
      <c r="G102" s="15" t="s">
        <v>799</v>
      </c>
      <c r="H102" s="15" t="s">
        <v>800</v>
      </c>
      <c r="I102" s="15" t="s">
        <v>801</v>
      </c>
    </row>
    <row r="103" customFormat="false" ht="23.85" hidden="false" customHeight="false" outlineLevel="0" collapsed="false">
      <c r="A103" s="17" t="s">
        <v>802</v>
      </c>
      <c r="B103" s="18" t="s">
        <v>803</v>
      </c>
      <c r="C103" s="17" t="s">
        <v>39</v>
      </c>
      <c r="D103" s="17" t="s">
        <v>804</v>
      </c>
      <c r="E103" s="17" t="s">
        <v>805</v>
      </c>
      <c r="F103" s="17"/>
      <c r="G103" s="17" t="s">
        <v>806</v>
      </c>
      <c r="H103" s="17" t="s">
        <v>807</v>
      </c>
      <c r="I103" s="17" t="s">
        <v>808</v>
      </c>
    </row>
    <row r="104" customFormat="false" ht="23.85" hidden="false" customHeight="false" outlineLevel="0" collapsed="false">
      <c r="A104" s="15" t="s">
        <v>809</v>
      </c>
      <c r="B104" s="16" t="s">
        <v>810</v>
      </c>
      <c r="C104" s="15" t="s">
        <v>39</v>
      </c>
      <c r="D104" s="15" t="s">
        <v>811</v>
      </c>
      <c r="E104" s="15" t="s">
        <v>812</v>
      </c>
      <c r="F104" s="15" t="s">
        <v>813</v>
      </c>
      <c r="G104" s="15" t="s">
        <v>814</v>
      </c>
      <c r="H104" s="15" t="s">
        <v>815</v>
      </c>
      <c r="I104" s="15" t="s">
        <v>816</v>
      </c>
    </row>
    <row r="105" customFormat="false" ht="23.85" hidden="false" customHeight="false" outlineLevel="0" collapsed="false">
      <c r="A105" s="17" t="s">
        <v>817</v>
      </c>
      <c r="B105" s="18" t="s">
        <v>818</v>
      </c>
      <c r="C105" s="17" t="s">
        <v>39</v>
      </c>
      <c r="D105" s="17" t="s">
        <v>819</v>
      </c>
      <c r="E105" s="17" t="s">
        <v>820</v>
      </c>
      <c r="F105" s="17"/>
      <c r="G105" s="17" t="s">
        <v>821</v>
      </c>
      <c r="H105" s="17" t="s">
        <v>822</v>
      </c>
      <c r="I105" s="17" t="s">
        <v>823</v>
      </c>
    </row>
    <row r="106" customFormat="false" ht="23.85" hidden="false" customHeight="false" outlineLevel="0" collapsed="false">
      <c r="A106" s="15" t="s">
        <v>824</v>
      </c>
      <c r="B106" s="16" t="s">
        <v>825</v>
      </c>
      <c r="C106" s="15" t="s">
        <v>39</v>
      </c>
      <c r="D106" s="15" t="s">
        <v>826</v>
      </c>
      <c r="E106" s="15" t="s">
        <v>820</v>
      </c>
      <c r="F106" s="15"/>
      <c r="G106" s="15" t="s">
        <v>827</v>
      </c>
      <c r="H106" s="15" t="s">
        <v>828</v>
      </c>
      <c r="I106" s="15" t="s">
        <v>829</v>
      </c>
    </row>
    <row r="107" customFormat="false" ht="23.85" hidden="false" customHeight="false" outlineLevel="0" collapsed="false">
      <c r="A107" s="17" t="s">
        <v>830</v>
      </c>
      <c r="B107" s="18" t="s">
        <v>831</v>
      </c>
      <c r="C107" s="17" t="s">
        <v>39</v>
      </c>
      <c r="D107" s="17" t="s">
        <v>832</v>
      </c>
      <c r="E107" s="17" t="s">
        <v>833</v>
      </c>
      <c r="F107" s="17" t="s">
        <v>834</v>
      </c>
      <c r="G107" s="17" t="s">
        <v>835</v>
      </c>
      <c r="H107" s="17" t="s">
        <v>836</v>
      </c>
      <c r="I107" s="17" t="s">
        <v>837</v>
      </c>
    </row>
    <row r="108" customFormat="false" ht="15" hidden="false" customHeight="false" outlineLevel="0" collapsed="false">
      <c r="A108" s="15" t="s">
        <v>838</v>
      </c>
      <c r="B108" s="16" t="s">
        <v>839</v>
      </c>
      <c r="C108" s="15" t="s">
        <v>39</v>
      </c>
      <c r="D108" s="15" t="s">
        <v>840</v>
      </c>
      <c r="E108" s="15" t="s">
        <v>841</v>
      </c>
      <c r="F108" s="15"/>
      <c r="G108" s="15" t="s">
        <v>842</v>
      </c>
      <c r="H108" s="15" t="s">
        <v>843</v>
      </c>
      <c r="I108" s="15" t="s">
        <v>844</v>
      </c>
    </row>
    <row r="109" customFormat="false" ht="23.85" hidden="false" customHeight="false" outlineLevel="0" collapsed="false">
      <c r="A109" s="17" t="s">
        <v>845</v>
      </c>
      <c r="B109" s="18" t="s">
        <v>846</v>
      </c>
      <c r="C109" s="17" t="s">
        <v>39</v>
      </c>
      <c r="D109" s="17" t="s">
        <v>847</v>
      </c>
      <c r="E109" s="17" t="s">
        <v>848</v>
      </c>
      <c r="F109" s="17"/>
      <c r="G109" s="17" t="s">
        <v>849</v>
      </c>
      <c r="H109" s="17" t="s">
        <v>850</v>
      </c>
      <c r="I109" s="17" t="s">
        <v>851</v>
      </c>
    </row>
    <row r="110" customFormat="false" ht="15" hidden="false" customHeight="false" outlineLevel="0" collapsed="false">
      <c r="A110" s="15" t="s">
        <v>852</v>
      </c>
      <c r="B110" s="16" t="s">
        <v>853</v>
      </c>
      <c r="C110" s="15" t="s">
        <v>39</v>
      </c>
      <c r="D110" s="15" t="s">
        <v>854</v>
      </c>
      <c r="E110" s="15" t="s">
        <v>848</v>
      </c>
      <c r="F110" s="15"/>
      <c r="G110" s="15" t="s">
        <v>855</v>
      </c>
      <c r="H110" s="15" t="s">
        <v>856</v>
      </c>
      <c r="I110" s="15" t="s">
        <v>857</v>
      </c>
    </row>
    <row r="111" customFormat="false" ht="23.85" hidden="false" customHeight="false" outlineLevel="0" collapsed="false">
      <c r="A111" s="17" t="s">
        <v>858</v>
      </c>
      <c r="B111" s="18" t="s">
        <v>859</v>
      </c>
      <c r="C111" s="17" t="s">
        <v>39</v>
      </c>
      <c r="D111" s="17" t="s">
        <v>860</v>
      </c>
      <c r="E111" s="17" t="s">
        <v>861</v>
      </c>
      <c r="F111" s="17"/>
      <c r="G111" s="17" t="s">
        <v>862</v>
      </c>
      <c r="H111" s="17" t="s">
        <v>863</v>
      </c>
      <c r="I111" s="17" t="s">
        <v>864</v>
      </c>
    </row>
    <row r="112" customFormat="false" ht="15" hidden="false" customHeight="false" outlineLevel="0" collapsed="false">
      <c r="A112" s="15" t="s">
        <v>865</v>
      </c>
      <c r="B112" s="16" t="s">
        <v>866</v>
      </c>
      <c r="C112" s="15" t="s">
        <v>39</v>
      </c>
      <c r="D112" s="15" t="s">
        <v>867</v>
      </c>
      <c r="E112" s="15" t="s">
        <v>868</v>
      </c>
      <c r="F112" s="15"/>
      <c r="G112" s="15" t="s">
        <v>869</v>
      </c>
      <c r="H112" s="15" t="s">
        <v>870</v>
      </c>
      <c r="I112" s="15" t="s">
        <v>871</v>
      </c>
    </row>
    <row r="113" customFormat="false" ht="23.85" hidden="false" customHeight="false" outlineLevel="0" collapsed="false">
      <c r="A113" s="17" t="s">
        <v>872</v>
      </c>
      <c r="B113" s="18" t="s">
        <v>873</v>
      </c>
      <c r="C113" s="17" t="s">
        <v>39</v>
      </c>
      <c r="D113" s="17" t="s">
        <v>874</v>
      </c>
      <c r="E113" s="17" t="s">
        <v>875</v>
      </c>
      <c r="F113" s="17"/>
      <c r="G113" s="17" t="s">
        <v>876</v>
      </c>
      <c r="H113" s="17" t="s">
        <v>877</v>
      </c>
      <c r="I113" s="17" t="s">
        <v>878</v>
      </c>
    </row>
    <row r="114" customFormat="false" ht="15" hidden="false" customHeight="false" outlineLevel="0" collapsed="false">
      <c r="A114" s="15" t="s">
        <v>879</v>
      </c>
      <c r="B114" s="16" t="s">
        <v>880</v>
      </c>
      <c r="C114" s="15" t="s">
        <v>39</v>
      </c>
      <c r="D114" s="15" t="s">
        <v>881</v>
      </c>
      <c r="E114" s="15" t="s">
        <v>820</v>
      </c>
      <c r="F114" s="15"/>
      <c r="G114" s="15" t="s">
        <v>882</v>
      </c>
      <c r="H114" s="15" t="s">
        <v>883</v>
      </c>
      <c r="I114" s="15" t="s">
        <v>884</v>
      </c>
    </row>
    <row r="115" customFormat="false" ht="23.85" hidden="false" customHeight="false" outlineLevel="0" collapsed="false">
      <c r="A115" s="17" t="s">
        <v>885</v>
      </c>
      <c r="B115" s="18" t="s">
        <v>886</v>
      </c>
      <c r="C115" s="17" t="s">
        <v>39</v>
      </c>
      <c r="D115" s="17" t="s">
        <v>887</v>
      </c>
      <c r="E115" s="17" t="s">
        <v>820</v>
      </c>
      <c r="F115" s="17"/>
      <c r="G115" s="17" t="s">
        <v>888</v>
      </c>
      <c r="H115" s="17" t="s">
        <v>889</v>
      </c>
      <c r="I115" s="17" t="s">
        <v>890</v>
      </c>
    </row>
    <row r="116" customFormat="false" ht="23.85" hidden="false" customHeight="false" outlineLevel="0" collapsed="false">
      <c r="A116" s="15" t="s">
        <v>891</v>
      </c>
      <c r="B116" s="16" t="s">
        <v>892</v>
      </c>
      <c r="C116" s="15" t="s">
        <v>39</v>
      </c>
      <c r="D116" s="15" t="s">
        <v>893</v>
      </c>
      <c r="E116" s="15" t="s">
        <v>820</v>
      </c>
      <c r="F116" s="15"/>
      <c r="G116" s="15" t="s">
        <v>894</v>
      </c>
      <c r="H116" s="15" t="s">
        <v>895</v>
      </c>
      <c r="I116" s="15" t="s">
        <v>896</v>
      </c>
    </row>
    <row r="117" customFormat="false" ht="15" hidden="false" customHeight="false" outlineLevel="0" collapsed="false">
      <c r="A117" s="17" t="s">
        <v>897</v>
      </c>
      <c r="B117" s="18" t="s">
        <v>898</v>
      </c>
      <c r="C117" s="17" t="s">
        <v>39</v>
      </c>
      <c r="D117" s="17" t="s">
        <v>899</v>
      </c>
      <c r="E117" s="17" t="s">
        <v>900</v>
      </c>
      <c r="F117" s="17" t="s">
        <v>901</v>
      </c>
      <c r="G117" s="17" t="s">
        <v>902</v>
      </c>
      <c r="H117" s="17" t="s">
        <v>903</v>
      </c>
      <c r="I117" s="17" t="s">
        <v>904</v>
      </c>
    </row>
    <row r="118" customFormat="false" ht="15" hidden="false" customHeight="false" outlineLevel="0" collapsed="false">
      <c r="A118" s="15" t="s">
        <v>905</v>
      </c>
      <c r="B118" s="16" t="s">
        <v>906</v>
      </c>
      <c r="C118" s="15" t="s">
        <v>39</v>
      </c>
      <c r="D118" s="15" t="s">
        <v>907</v>
      </c>
      <c r="E118" s="15" t="s">
        <v>908</v>
      </c>
      <c r="F118" s="15"/>
      <c r="G118" s="15" t="s">
        <v>909</v>
      </c>
      <c r="H118" s="15" t="s">
        <v>910</v>
      </c>
      <c r="I118" s="15" t="s">
        <v>911</v>
      </c>
    </row>
    <row r="119" customFormat="false" ht="23.85" hidden="false" customHeight="false" outlineLevel="0" collapsed="false">
      <c r="A119" s="17" t="s">
        <v>912</v>
      </c>
      <c r="B119" s="18" t="s">
        <v>913</v>
      </c>
      <c r="C119" s="17" t="s">
        <v>40</v>
      </c>
      <c r="D119" s="17" t="s">
        <v>914</v>
      </c>
      <c r="E119" s="17" t="s">
        <v>915</v>
      </c>
      <c r="F119" s="17" t="s">
        <v>916</v>
      </c>
      <c r="G119" s="17" t="s">
        <v>917</v>
      </c>
      <c r="H119" s="17" t="s">
        <v>918</v>
      </c>
      <c r="I119" s="17" t="s">
        <v>919</v>
      </c>
    </row>
    <row r="120" customFormat="false" ht="15" hidden="false" customHeight="false" outlineLevel="0" collapsed="false">
      <c r="A120" s="15" t="s">
        <v>920</v>
      </c>
      <c r="B120" s="16" t="s">
        <v>921</v>
      </c>
      <c r="C120" s="15" t="s">
        <v>40</v>
      </c>
      <c r="D120" s="15" t="s">
        <v>922</v>
      </c>
      <c r="E120" s="15" t="s">
        <v>923</v>
      </c>
      <c r="F120" s="15"/>
      <c r="G120" s="15" t="s">
        <v>924</v>
      </c>
      <c r="H120" s="15" t="s">
        <v>925</v>
      </c>
      <c r="I120" s="15" t="s">
        <v>926</v>
      </c>
    </row>
    <row r="121" customFormat="false" ht="23.85" hidden="false" customHeight="false" outlineLevel="0" collapsed="false">
      <c r="A121" s="17" t="s">
        <v>927</v>
      </c>
      <c r="B121" s="18" t="s">
        <v>928</v>
      </c>
      <c r="C121" s="17" t="s">
        <v>40</v>
      </c>
      <c r="D121" s="17" t="s">
        <v>929</v>
      </c>
      <c r="E121" s="17" t="s">
        <v>930</v>
      </c>
      <c r="F121" s="17" t="s">
        <v>931</v>
      </c>
      <c r="G121" s="17" t="s">
        <v>932</v>
      </c>
      <c r="H121" s="17" t="s">
        <v>933</v>
      </c>
      <c r="I121" s="17" t="s">
        <v>934</v>
      </c>
    </row>
    <row r="122" customFormat="false" ht="23.85" hidden="false" customHeight="false" outlineLevel="0" collapsed="false">
      <c r="A122" s="15" t="s">
        <v>935</v>
      </c>
      <c r="B122" s="16" t="s">
        <v>936</v>
      </c>
      <c r="C122" s="15" t="s">
        <v>39</v>
      </c>
      <c r="D122" s="15" t="s">
        <v>937</v>
      </c>
      <c r="E122" s="15" t="s">
        <v>938</v>
      </c>
      <c r="F122" s="15"/>
      <c r="G122" s="15" t="s">
        <v>939</v>
      </c>
      <c r="H122" s="15" t="s">
        <v>224</v>
      </c>
      <c r="I122" s="15" t="s">
        <v>940</v>
      </c>
    </row>
    <row r="123" customFormat="false" ht="23.85" hidden="false" customHeight="false" outlineLevel="0" collapsed="false">
      <c r="A123" s="17" t="s">
        <v>941</v>
      </c>
      <c r="B123" s="18" t="s">
        <v>942</v>
      </c>
      <c r="C123" s="17" t="s">
        <v>39</v>
      </c>
      <c r="D123" s="17" t="s">
        <v>943</v>
      </c>
      <c r="E123" s="17" t="s">
        <v>944</v>
      </c>
      <c r="F123" s="17"/>
      <c r="G123" s="17" t="s">
        <v>945</v>
      </c>
      <c r="H123" s="17" t="s">
        <v>807</v>
      </c>
      <c r="I123" s="17" t="s">
        <v>946</v>
      </c>
    </row>
    <row r="124" customFormat="false" ht="23.85" hidden="false" customHeight="false" outlineLevel="0" collapsed="false">
      <c r="A124" s="15" t="s">
        <v>947</v>
      </c>
      <c r="B124" s="16" t="s">
        <v>948</v>
      </c>
      <c r="C124" s="15" t="s">
        <v>39</v>
      </c>
      <c r="D124" s="15" t="s">
        <v>949</v>
      </c>
      <c r="E124" s="15" t="s">
        <v>950</v>
      </c>
      <c r="F124" s="15" t="s">
        <v>951</v>
      </c>
      <c r="G124" s="15" t="s">
        <v>952</v>
      </c>
      <c r="H124" s="15" t="s">
        <v>953</v>
      </c>
      <c r="I124" s="15" t="s">
        <v>954</v>
      </c>
    </row>
    <row r="125" customFormat="false" ht="23.85" hidden="false" customHeight="false" outlineLevel="0" collapsed="false">
      <c r="A125" s="17" t="s">
        <v>955</v>
      </c>
      <c r="B125" s="18" t="s">
        <v>956</v>
      </c>
      <c r="C125" s="17" t="s">
        <v>41</v>
      </c>
      <c r="D125" s="17" t="s">
        <v>957</v>
      </c>
      <c r="E125" s="17" t="s">
        <v>958</v>
      </c>
      <c r="F125" s="17"/>
      <c r="G125" s="17" t="s">
        <v>959</v>
      </c>
      <c r="H125" s="17" t="s">
        <v>960</v>
      </c>
      <c r="I125" s="17" t="s">
        <v>961</v>
      </c>
    </row>
    <row r="126" customFormat="false" ht="23.85" hidden="false" customHeight="false" outlineLevel="0" collapsed="false">
      <c r="A126" s="15" t="s">
        <v>962</v>
      </c>
      <c r="B126" s="16" t="s">
        <v>963</v>
      </c>
      <c r="C126" s="15" t="s">
        <v>41</v>
      </c>
      <c r="D126" s="15" t="s">
        <v>964</v>
      </c>
      <c r="E126" s="15" t="s">
        <v>965</v>
      </c>
      <c r="F126" s="15"/>
      <c r="G126" s="15" t="s">
        <v>966</v>
      </c>
      <c r="H126" s="15" t="s">
        <v>967</v>
      </c>
      <c r="I126" s="15" t="s">
        <v>968</v>
      </c>
    </row>
    <row r="127" customFormat="false" ht="23.85" hidden="false" customHeight="false" outlineLevel="0" collapsed="false">
      <c r="A127" s="17" t="s">
        <v>969</v>
      </c>
      <c r="B127" s="18" t="s">
        <v>970</v>
      </c>
      <c r="C127" s="17" t="s">
        <v>41</v>
      </c>
      <c r="D127" s="17" t="s">
        <v>971</v>
      </c>
      <c r="E127" s="17" t="s">
        <v>972</v>
      </c>
      <c r="F127" s="17"/>
      <c r="G127" s="17" t="s">
        <v>973</v>
      </c>
      <c r="H127" s="17" t="s">
        <v>974</v>
      </c>
      <c r="I127" s="17" t="s">
        <v>975</v>
      </c>
    </row>
    <row r="128" customFormat="false" ht="23.85" hidden="false" customHeight="false" outlineLevel="0" collapsed="false">
      <c r="A128" s="15" t="s">
        <v>976</v>
      </c>
      <c r="B128" s="16" t="s">
        <v>977</v>
      </c>
      <c r="C128" s="15" t="s">
        <v>41</v>
      </c>
      <c r="D128" s="15" t="s">
        <v>978</v>
      </c>
      <c r="E128" s="15" t="s">
        <v>979</v>
      </c>
      <c r="F128" s="15"/>
      <c r="G128" s="15" t="s">
        <v>980</v>
      </c>
      <c r="H128" s="15" t="s">
        <v>981</v>
      </c>
      <c r="I128" s="15" t="s">
        <v>982</v>
      </c>
    </row>
    <row r="129" customFormat="false" ht="23.85" hidden="false" customHeight="false" outlineLevel="0" collapsed="false">
      <c r="A129" s="17" t="s">
        <v>983</v>
      </c>
      <c r="B129" s="18" t="s">
        <v>984</v>
      </c>
      <c r="C129" s="17" t="s">
        <v>41</v>
      </c>
      <c r="D129" s="17" t="s">
        <v>985</v>
      </c>
      <c r="E129" s="17" t="s">
        <v>986</v>
      </c>
      <c r="F129" s="17"/>
      <c r="G129" s="17" t="s">
        <v>987</v>
      </c>
      <c r="H129" s="17" t="s">
        <v>988</v>
      </c>
      <c r="I129" s="17" t="s">
        <v>989</v>
      </c>
    </row>
    <row r="130" customFormat="false" ht="15" hidden="false" customHeight="false" outlineLevel="0" collapsed="false">
      <c r="A130" s="15" t="s">
        <v>990</v>
      </c>
      <c r="B130" s="16" t="s">
        <v>991</v>
      </c>
      <c r="C130" s="15" t="s">
        <v>41</v>
      </c>
      <c r="D130" s="15" t="s">
        <v>992</v>
      </c>
      <c r="E130" s="15" t="s">
        <v>993</v>
      </c>
      <c r="F130" s="15"/>
      <c r="G130" s="15" t="s">
        <v>994</v>
      </c>
      <c r="H130" s="15" t="s">
        <v>995</v>
      </c>
      <c r="I130" s="15" t="s">
        <v>996</v>
      </c>
    </row>
    <row r="131" customFormat="false" ht="15" hidden="false" customHeight="false" outlineLevel="0" collapsed="false">
      <c r="A131" s="17" t="s">
        <v>997</v>
      </c>
      <c r="B131" s="18" t="s">
        <v>998</v>
      </c>
      <c r="C131" s="17" t="s">
        <v>41</v>
      </c>
      <c r="D131" s="17" t="s">
        <v>999</v>
      </c>
      <c r="E131" s="17" t="s">
        <v>1000</v>
      </c>
      <c r="F131" s="17"/>
      <c r="G131" s="17" t="s">
        <v>1001</v>
      </c>
      <c r="H131" s="17" t="s">
        <v>1002</v>
      </c>
      <c r="I131" s="17" t="s">
        <v>1003</v>
      </c>
    </row>
    <row r="132" customFormat="false" ht="23.85" hidden="false" customHeight="false" outlineLevel="0" collapsed="false">
      <c r="A132" s="15" t="s">
        <v>1004</v>
      </c>
      <c r="B132" s="16" t="s">
        <v>1005</v>
      </c>
      <c r="C132" s="15" t="s">
        <v>41</v>
      </c>
      <c r="D132" s="15" t="s">
        <v>1006</v>
      </c>
      <c r="E132" s="15" t="s">
        <v>1007</v>
      </c>
      <c r="F132" s="15" t="s">
        <v>1008</v>
      </c>
      <c r="G132" s="15" t="s">
        <v>1009</v>
      </c>
      <c r="H132" s="15" t="s">
        <v>1010</v>
      </c>
      <c r="I132" s="15" t="s">
        <v>1011</v>
      </c>
    </row>
    <row r="133" customFormat="false" ht="23.85" hidden="false" customHeight="false" outlineLevel="0" collapsed="false">
      <c r="A133" s="17" t="s">
        <v>1012</v>
      </c>
      <c r="B133" s="18" t="s">
        <v>1013</v>
      </c>
      <c r="C133" s="17" t="s">
        <v>41</v>
      </c>
      <c r="D133" s="17" t="s">
        <v>1014</v>
      </c>
      <c r="E133" s="17" t="s">
        <v>1015</v>
      </c>
      <c r="F133" s="17"/>
      <c r="G133" s="17" t="s">
        <v>1016</v>
      </c>
      <c r="H133" s="17" t="s">
        <v>1017</v>
      </c>
      <c r="I133" s="17" t="s">
        <v>1018</v>
      </c>
    </row>
    <row r="134" customFormat="false" ht="23.85" hidden="false" customHeight="false" outlineLevel="0" collapsed="false">
      <c r="A134" s="15" t="s">
        <v>1019</v>
      </c>
      <c r="B134" s="16" t="s">
        <v>1020</v>
      </c>
      <c r="C134" s="15" t="s">
        <v>41</v>
      </c>
      <c r="D134" s="15" t="s">
        <v>1021</v>
      </c>
      <c r="E134" s="15" t="s">
        <v>1022</v>
      </c>
      <c r="F134" s="15"/>
      <c r="G134" s="15" t="s">
        <v>1023</v>
      </c>
      <c r="H134" s="15" t="s">
        <v>1024</v>
      </c>
      <c r="I134" s="15" t="s">
        <v>1025</v>
      </c>
    </row>
    <row r="135" customFormat="false" ht="23.85" hidden="false" customHeight="false" outlineLevel="0" collapsed="false">
      <c r="A135" s="17" t="s">
        <v>1026</v>
      </c>
      <c r="B135" s="18" t="s">
        <v>1027</v>
      </c>
      <c r="C135" s="17" t="s">
        <v>42</v>
      </c>
      <c r="D135" s="17" t="s">
        <v>1028</v>
      </c>
      <c r="E135" s="17" t="s">
        <v>1029</v>
      </c>
      <c r="F135" s="17" t="s">
        <v>1030</v>
      </c>
      <c r="G135" s="17" t="s">
        <v>1031</v>
      </c>
      <c r="H135" s="17" t="s">
        <v>1032</v>
      </c>
      <c r="I135" s="17" t="s">
        <v>1033</v>
      </c>
    </row>
    <row r="136" customFormat="false" ht="23.85" hidden="false" customHeight="false" outlineLevel="0" collapsed="false">
      <c r="A136" s="15" t="s">
        <v>1034</v>
      </c>
      <c r="B136" s="16" t="s">
        <v>1035</v>
      </c>
      <c r="C136" s="15" t="s">
        <v>42</v>
      </c>
      <c r="D136" s="15" t="s">
        <v>1036</v>
      </c>
      <c r="E136" s="15" t="s">
        <v>1037</v>
      </c>
      <c r="F136" s="15" t="s">
        <v>1030</v>
      </c>
      <c r="G136" s="15" t="s">
        <v>1038</v>
      </c>
      <c r="H136" s="15" t="s">
        <v>1039</v>
      </c>
      <c r="I136" s="15" t="s">
        <v>1040</v>
      </c>
    </row>
    <row r="137" customFormat="false" ht="15" hidden="false" customHeight="false" outlineLevel="0" collapsed="false">
      <c r="A137" s="17" t="s">
        <v>1041</v>
      </c>
      <c r="B137" s="18" t="s">
        <v>1042</v>
      </c>
      <c r="C137" s="17" t="s">
        <v>42</v>
      </c>
      <c r="D137" s="17" t="s">
        <v>1043</v>
      </c>
      <c r="E137" s="17" t="s">
        <v>1044</v>
      </c>
      <c r="F137" s="17"/>
      <c r="G137" s="17" t="s">
        <v>1045</v>
      </c>
      <c r="H137" s="17" t="s">
        <v>1046</v>
      </c>
      <c r="I137" s="17" t="s">
        <v>996</v>
      </c>
    </row>
    <row r="138" customFormat="false" ht="23.85" hidden="false" customHeight="false" outlineLevel="0" collapsed="false">
      <c r="A138" s="15" t="s">
        <v>1047</v>
      </c>
      <c r="B138" s="16" t="s">
        <v>1048</v>
      </c>
      <c r="C138" s="15" t="s">
        <v>42</v>
      </c>
      <c r="D138" s="15" t="s">
        <v>1049</v>
      </c>
      <c r="E138" s="15" t="s">
        <v>1050</v>
      </c>
      <c r="F138" s="15" t="s">
        <v>1051</v>
      </c>
      <c r="G138" s="15" t="s">
        <v>1052</v>
      </c>
      <c r="H138" s="15" t="s">
        <v>1053</v>
      </c>
      <c r="I138" s="15" t="s">
        <v>1054</v>
      </c>
    </row>
    <row r="139" customFormat="false" ht="15" hidden="false" customHeight="false" outlineLevel="0" collapsed="false">
      <c r="A139" s="17" t="s">
        <v>1055</v>
      </c>
      <c r="B139" s="18" t="s">
        <v>1056</v>
      </c>
      <c r="C139" s="17" t="s">
        <v>42</v>
      </c>
      <c r="D139" s="17" t="s">
        <v>1057</v>
      </c>
      <c r="E139" s="17" t="s">
        <v>1058</v>
      </c>
      <c r="F139" s="17"/>
      <c r="G139" s="17" t="s">
        <v>1059</v>
      </c>
      <c r="H139" s="17" t="s">
        <v>1060</v>
      </c>
      <c r="I139" s="17" t="s">
        <v>1061</v>
      </c>
    </row>
    <row r="140" customFormat="false" ht="35.05" hidden="false" customHeight="false" outlineLevel="0" collapsed="false">
      <c r="A140" s="15" t="s">
        <v>1062</v>
      </c>
      <c r="B140" s="16" t="s">
        <v>1063</v>
      </c>
      <c r="C140" s="15" t="s">
        <v>43</v>
      </c>
      <c r="D140" s="15" t="s">
        <v>1064</v>
      </c>
      <c r="E140" s="15" t="s">
        <v>1065</v>
      </c>
      <c r="F140" s="15" t="s">
        <v>1066</v>
      </c>
      <c r="G140" s="15" t="s">
        <v>1067</v>
      </c>
      <c r="H140" s="15" t="s">
        <v>1068</v>
      </c>
      <c r="I140" s="15" t="s">
        <v>1069</v>
      </c>
    </row>
    <row r="141" customFormat="false" ht="23.85" hidden="false" customHeight="false" outlineLevel="0" collapsed="false">
      <c r="A141" s="17" t="s">
        <v>1070</v>
      </c>
      <c r="B141" s="18" t="s">
        <v>1071</v>
      </c>
      <c r="C141" s="17" t="s">
        <v>43</v>
      </c>
      <c r="D141" s="17" t="s">
        <v>1072</v>
      </c>
      <c r="E141" s="17" t="s">
        <v>944</v>
      </c>
      <c r="F141" s="17"/>
      <c r="G141" s="17" t="s">
        <v>1073</v>
      </c>
      <c r="H141" s="17" t="s">
        <v>1074</v>
      </c>
      <c r="I141" s="17" t="s">
        <v>1075</v>
      </c>
    </row>
    <row r="142" customFormat="false" ht="23.85" hidden="false" customHeight="false" outlineLevel="0" collapsed="false">
      <c r="A142" s="15" t="s">
        <v>1076</v>
      </c>
      <c r="B142" s="16" t="s">
        <v>1077</v>
      </c>
      <c r="C142" s="15" t="s">
        <v>43</v>
      </c>
      <c r="D142" s="15" t="s">
        <v>1078</v>
      </c>
      <c r="E142" s="15" t="s">
        <v>1079</v>
      </c>
      <c r="F142" s="15" t="s">
        <v>1080</v>
      </c>
      <c r="G142" s="15" t="s">
        <v>1081</v>
      </c>
      <c r="H142" s="15" t="s">
        <v>1082</v>
      </c>
      <c r="I142" s="15" t="s">
        <v>1083</v>
      </c>
    </row>
    <row r="143" customFormat="false" ht="23.85" hidden="false" customHeight="false" outlineLevel="0" collapsed="false">
      <c r="A143" s="17" t="s">
        <v>1084</v>
      </c>
      <c r="B143" s="18" t="s">
        <v>1085</v>
      </c>
      <c r="C143" s="17" t="s">
        <v>43</v>
      </c>
      <c r="D143" s="17" t="s">
        <v>1086</v>
      </c>
      <c r="E143" s="17" t="s">
        <v>1087</v>
      </c>
      <c r="F143" s="17" t="s">
        <v>1088</v>
      </c>
      <c r="G143" s="17" t="s">
        <v>1089</v>
      </c>
      <c r="H143" s="17" t="s">
        <v>1090</v>
      </c>
      <c r="I143" s="17" t="s">
        <v>1091</v>
      </c>
    </row>
    <row r="144" customFormat="false" ht="23.85" hidden="false" customHeight="false" outlineLevel="0" collapsed="false">
      <c r="A144" s="15" t="s">
        <v>1092</v>
      </c>
      <c r="B144" s="16" t="s">
        <v>1093</v>
      </c>
      <c r="C144" s="15" t="s">
        <v>43</v>
      </c>
      <c r="D144" s="15" t="s">
        <v>1094</v>
      </c>
      <c r="E144" s="15" t="s">
        <v>1095</v>
      </c>
      <c r="F144" s="15" t="s">
        <v>1096</v>
      </c>
      <c r="G144" s="15" t="s">
        <v>1097</v>
      </c>
      <c r="H144" s="15" t="s">
        <v>1098</v>
      </c>
      <c r="I144" s="15" t="s">
        <v>1099</v>
      </c>
    </row>
    <row r="145" customFormat="false" ht="23.85" hidden="false" customHeight="false" outlineLevel="0" collapsed="false">
      <c r="A145" s="17" t="s">
        <v>1100</v>
      </c>
      <c r="B145" s="18" t="s">
        <v>1101</v>
      </c>
      <c r="C145" s="17" t="s">
        <v>43</v>
      </c>
      <c r="D145" s="17"/>
      <c r="E145" s="17" t="s">
        <v>1102</v>
      </c>
      <c r="F145" s="17"/>
      <c r="G145" s="17" t="s">
        <v>1103</v>
      </c>
      <c r="H145" s="17" t="s">
        <v>1104</v>
      </c>
      <c r="I145" s="17" t="s">
        <v>1105</v>
      </c>
    </row>
    <row r="146" customFormat="false" ht="23.85" hidden="false" customHeight="false" outlineLevel="0" collapsed="false">
      <c r="A146" s="15" t="s">
        <v>1106</v>
      </c>
      <c r="B146" s="16" t="s">
        <v>1107</v>
      </c>
      <c r="C146" s="15" t="s">
        <v>43</v>
      </c>
      <c r="D146" s="15" t="s">
        <v>1108</v>
      </c>
      <c r="E146" s="15" t="s">
        <v>1109</v>
      </c>
      <c r="F146" s="15" t="s">
        <v>1110</v>
      </c>
      <c r="G146" s="15" t="s">
        <v>1111</v>
      </c>
      <c r="H146" s="15" t="s">
        <v>1112</v>
      </c>
      <c r="I146" s="15" t="s">
        <v>1113</v>
      </c>
    </row>
    <row r="147" customFormat="false" ht="23.85" hidden="false" customHeight="false" outlineLevel="0" collapsed="false">
      <c r="A147" s="17" t="s">
        <v>1114</v>
      </c>
      <c r="B147" s="18" t="s">
        <v>1115</v>
      </c>
      <c r="C147" s="17" t="s">
        <v>43</v>
      </c>
      <c r="D147" s="17" t="s">
        <v>1116</v>
      </c>
      <c r="E147" s="17" t="s">
        <v>1117</v>
      </c>
      <c r="F147" s="17" t="s">
        <v>1118</v>
      </c>
      <c r="G147" s="17" t="s">
        <v>1119</v>
      </c>
      <c r="H147" s="17" t="s">
        <v>1120</v>
      </c>
      <c r="I147" s="17" t="s">
        <v>1121</v>
      </c>
    </row>
    <row r="148" customFormat="false" ht="23.85" hidden="false" customHeight="false" outlineLevel="0" collapsed="false">
      <c r="A148" s="15" t="s">
        <v>1122</v>
      </c>
      <c r="B148" s="16" t="s">
        <v>1123</v>
      </c>
      <c r="C148" s="15" t="s">
        <v>44</v>
      </c>
      <c r="D148" s="15" t="s">
        <v>1124</v>
      </c>
      <c r="E148" s="15" t="s">
        <v>1125</v>
      </c>
      <c r="F148" s="15"/>
      <c r="G148" s="15" t="s">
        <v>1126</v>
      </c>
      <c r="H148" s="15" t="s">
        <v>1127</v>
      </c>
      <c r="I148" s="15" t="s">
        <v>1128</v>
      </c>
    </row>
    <row r="149" customFormat="false" ht="15" hidden="false" customHeight="false" outlineLevel="0" collapsed="false">
      <c r="A149" s="17" t="s">
        <v>1129</v>
      </c>
      <c r="B149" s="18" t="s">
        <v>1130</v>
      </c>
      <c r="C149" s="17" t="s">
        <v>44</v>
      </c>
      <c r="D149" s="17" t="s">
        <v>1131</v>
      </c>
      <c r="E149" s="17" t="s">
        <v>1132</v>
      </c>
      <c r="F149" s="17"/>
      <c r="G149" s="17" t="s">
        <v>1133</v>
      </c>
      <c r="H149" s="17" t="s">
        <v>1134</v>
      </c>
      <c r="I149" s="17" t="s">
        <v>1135</v>
      </c>
    </row>
    <row r="150" customFormat="false" ht="23.85" hidden="false" customHeight="false" outlineLevel="0" collapsed="false">
      <c r="A150" s="15" t="s">
        <v>1136</v>
      </c>
      <c r="B150" s="16" t="s">
        <v>1137</v>
      </c>
      <c r="C150" s="15" t="s">
        <v>44</v>
      </c>
      <c r="D150" s="15" t="s">
        <v>1138</v>
      </c>
      <c r="E150" s="15" t="s">
        <v>1139</v>
      </c>
      <c r="F150" s="15"/>
      <c r="G150" s="15" t="s">
        <v>1140</v>
      </c>
      <c r="H150" s="15" t="s">
        <v>1141</v>
      </c>
      <c r="I150" s="15" t="s">
        <v>1142</v>
      </c>
    </row>
    <row r="151" customFormat="false" ht="23.85" hidden="false" customHeight="false" outlineLevel="0" collapsed="false">
      <c r="A151" s="17" t="s">
        <v>1143</v>
      </c>
      <c r="B151" s="18" t="s">
        <v>1144</v>
      </c>
      <c r="C151" s="17" t="s">
        <v>44</v>
      </c>
      <c r="D151" s="17" t="s">
        <v>1145</v>
      </c>
      <c r="E151" s="17" t="s">
        <v>1146</v>
      </c>
      <c r="F151" s="17" t="s">
        <v>1147</v>
      </c>
      <c r="G151" s="17" t="s">
        <v>1148</v>
      </c>
      <c r="H151" s="17" t="s">
        <v>1149</v>
      </c>
      <c r="I151" s="17" t="s">
        <v>1150</v>
      </c>
    </row>
    <row r="152" customFormat="false" ht="23.85" hidden="false" customHeight="false" outlineLevel="0" collapsed="false">
      <c r="A152" s="15" t="s">
        <v>1151</v>
      </c>
      <c r="B152" s="16" t="s">
        <v>1152</v>
      </c>
      <c r="C152" s="15" t="s">
        <v>45</v>
      </c>
      <c r="D152" s="15" t="s">
        <v>1153</v>
      </c>
      <c r="E152" s="15" t="s">
        <v>1154</v>
      </c>
      <c r="F152" s="15"/>
      <c r="G152" s="15" t="s">
        <v>1155</v>
      </c>
      <c r="H152" s="15" t="s">
        <v>1156</v>
      </c>
      <c r="I152" s="15" t="s">
        <v>1157</v>
      </c>
    </row>
    <row r="153" customFormat="false" ht="15" hidden="false" customHeight="false" outlineLevel="0" collapsed="false">
      <c r="A153" s="17" t="s">
        <v>1158</v>
      </c>
      <c r="B153" s="18" t="s">
        <v>1159</v>
      </c>
      <c r="C153" s="17" t="s">
        <v>45</v>
      </c>
      <c r="D153" s="17" t="s">
        <v>1160</v>
      </c>
      <c r="E153" s="17" t="s">
        <v>1161</v>
      </c>
      <c r="F153" s="17" t="s">
        <v>1162</v>
      </c>
      <c r="G153" s="17" t="s">
        <v>1163</v>
      </c>
      <c r="H153" s="17" t="s">
        <v>1164</v>
      </c>
      <c r="I153" s="17" t="s">
        <v>1165</v>
      </c>
    </row>
    <row r="154" customFormat="false" ht="35.05" hidden="false" customHeight="false" outlineLevel="0" collapsed="false">
      <c r="A154" s="15" t="s">
        <v>1166</v>
      </c>
      <c r="B154" s="16" t="s">
        <v>1167</v>
      </c>
      <c r="C154" s="15" t="s">
        <v>45</v>
      </c>
      <c r="D154" s="15" t="s">
        <v>1168</v>
      </c>
      <c r="E154" s="15" t="s">
        <v>1169</v>
      </c>
      <c r="F154" s="15" t="s">
        <v>1170</v>
      </c>
      <c r="G154" s="15" t="s">
        <v>1171</v>
      </c>
      <c r="H154" s="15" t="s">
        <v>1172</v>
      </c>
      <c r="I154" s="15" t="s">
        <v>1173</v>
      </c>
    </row>
    <row r="155" customFormat="false" ht="23.85" hidden="false" customHeight="false" outlineLevel="0" collapsed="false">
      <c r="A155" s="17" t="s">
        <v>1174</v>
      </c>
      <c r="B155" s="18" t="s">
        <v>1175</v>
      </c>
      <c r="C155" s="17" t="s">
        <v>45</v>
      </c>
      <c r="D155" s="17" t="s">
        <v>1176</v>
      </c>
      <c r="E155" s="17" t="s">
        <v>1177</v>
      </c>
      <c r="F155" s="17"/>
      <c r="G155" s="17" t="s">
        <v>1178</v>
      </c>
      <c r="H155" s="17" t="s">
        <v>1179</v>
      </c>
      <c r="I155" s="17" t="s">
        <v>1180</v>
      </c>
    </row>
    <row r="156" customFormat="false" ht="23.85" hidden="false" customHeight="false" outlineLevel="0" collapsed="false">
      <c r="A156" s="15" t="s">
        <v>1181</v>
      </c>
      <c r="B156" s="16" t="s">
        <v>1182</v>
      </c>
      <c r="C156" s="15" t="s">
        <v>45</v>
      </c>
      <c r="D156" s="15" t="s">
        <v>1183</v>
      </c>
      <c r="E156" s="15" t="s">
        <v>1184</v>
      </c>
      <c r="F156" s="15" t="s">
        <v>1185</v>
      </c>
      <c r="G156" s="15" t="s">
        <v>1186</v>
      </c>
      <c r="H156" s="15" t="s">
        <v>1187</v>
      </c>
      <c r="I156" s="15" t="s">
        <v>1188</v>
      </c>
    </row>
    <row r="157" customFormat="false" ht="23.85" hidden="false" customHeight="false" outlineLevel="0" collapsed="false">
      <c r="A157" s="17" t="s">
        <v>1189</v>
      </c>
      <c r="B157" s="18" t="s">
        <v>1190</v>
      </c>
      <c r="C157" s="17" t="s">
        <v>46</v>
      </c>
      <c r="D157" s="17" t="s">
        <v>1191</v>
      </c>
      <c r="E157" s="17" t="s">
        <v>1192</v>
      </c>
      <c r="F157" s="17" t="s">
        <v>1193</v>
      </c>
      <c r="G157" s="17" t="s">
        <v>1194</v>
      </c>
      <c r="H157" s="17" t="s">
        <v>1195</v>
      </c>
      <c r="I157" s="17" t="s">
        <v>1196</v>
      </c>
    </row>
    <row r="158" customFormat="false" ht="23.85" hidden="false" customHeight="false" outlineLevel="0" collapsed="false">
      <c r="A158" s="15" t="s">
        <v>1197</v>
      </c>
      <c r="B158" s="16" t="s">
        <v>1198</v>
      </c>
      <c r="C158" s="15" t="s">
        <v>46</v>
      </c>
      <c r="D158" s="15" t="s">
        <v>1199</v>
      </c>
      <c r="E158" s="15" t="s">
        <v>1200</v>
      </c>
      <c r="F158" s="15"/>
      <c r="G158" s="15" t="s">
        <v>1201</v>
      </c>
      <c r="H158" s="15" t="s">
        <v>1202</v>
      </c>
      <c r="I158" s="15" t="s">
        <v>1203</v>
      </c>
    </row>
  </sheetData>
  <autoFilter ref="A1:I1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42"/>
    <col collapsed="false" customWidth="true" hidden="false" outlineLevel="0" max="6" min="6" style="0" width="52"/>
  </cols>
  <sheetData>
    <row r="1" customFormat="false" ht="31.5" hidden="false" customHeight="true" outlineLevel="0" collapsed="false">
      <c r="A1" s="14" t="s">
        <v>69</v>
      </c>
      <c r="B1" s="14" t="s">
        <v>1204</v>
      </c>
      <c r="C1" s="14" t="s">
        <v>1205</v>
      </c>
      <c r="D1" s="14" t="s">
        <v>1206</v>
      </c>
      <c r="E1" s="14" t="s">
        <v>1207</v>
      </c>
      <c r="F1" s="14" t="s">
        <v>1208</v>
      </c>
    </row>
    <row r="2" customFormat="false" ht="23.85" hidden="false" customHeight="false" outlineLevel="0" collapsed="false">
      <c r="A2" s="15" t="s">
        <v>1209</v>
      </c>
      <c r="B2" s="16" t="s">
        <v>1210</v>
      </c>
      <c r="C2" s="15" t="s">
        <v>1211</v>
      </c>
      <c r="D2" s="15" t="s">
        <v>1212</v>
      </c>
      <c r="E2" s="15" t="s">
        <v>1213</v>
      </c>
      <c r="F2" s="15" t="s">
        <v>1214</v>
      </c>
    </row>
    <row r="3" customFormat="false" ht="23.85" hidden="false" customHeight="false" outlineLevel="0" collapsed="false">
      <c r="A3" s="17" t="s">
        <v>1215</v>
      </c>
      <c r="B3" s="18" t="s">
        <v>1216</v>
      </c>
      <c r="C3" s="17" t="s">
        <v>1217</v>
      </c>
      <c r="D3" s="17" t="s">
        <v>1218</v>
      </c>
      <c r="E3" s="17" t="s">
        <v>1219</v>
      </c>
      <c r="F3" s="17" t="s">
        <v>1220</v>
      </c>
    </row>
    <row r="4" customFormat="false" ht="23.85" hidden="false" customHeight="false" outlineLevel="0" collapsed="false">
      <c r="A4" s="15" t="s">
        <v>1221</v>
      </c>
      <c r="B4" s="16" t="s">
        <v>1222</v>
      </c>
      <c r="C4" s="15" t="s">
        <v>1223</v>
      </c>
      <c r="D4" s="15" t="s">
        <v>1224</v>
      </c>
      <c r="E4" s="15" t="s">
        <v>1225</v>
      </c>
      <c r="F4" s="15" t="s">
        <v>1226</v>
      </c>
    </row>
    <row r="5" customFormat="false" ht="23.85" hidden="false" customHeight="false" outlineLevel="0" collapsed="false">
      <c r="A5" s="17" t="s">
        <v>1227</v>
      </c>
      <c r="B5" s="18" t="s">
        <v>1228</v>
      </c>
      <c r="C5" s="17" t="s">
        <v>1229</v>
      </c>
      <c r="D5" s="17" t="s">
        <v>1230</v>
      </c>
      <c r="E5" s="17" t="s">
        <v>1231</v>
      </c>
      <c r="F5" s="17" t="s">
        <v>1232</v>
      </c>
    </row>
    <row r="6" customFormat="false" ht="23.85" hidden="false" customHeight="false" outlineLevel="0" collapsed="false">
      <c r="A6" s="15" t="s">
        <v>1233</v>
      </c>
      <c r="B6" s="16" t="s">
        <v>1234</v>
      </c>
      <c r="C6" s="15" t="s">
        <v>1235</v>
      </c>
      <c r="D6" s="15" t="s">
        <v>1236</v>
      </c>
      <c r="E6" s="15" t="s">
        <v>1237</v>
      </c>
      <c r="F6" s="15" t="s">
        <v>1238</v>
      </c>
    </row>
    <row r="7" customFormat="false" ht="23.85" hidden="false" customHeight="false" outlineLevel="0" collapsed="false">
      <c r="A7" s="17" t="s">
        <v>1239</v>
      </c>
      <c r="B7" s="18" t="s">
        <v>1240</v>
      </c>
      <c r="C7" s="17" t="s">
        <v>1241</v>
      </c>
      <c r="D7" s="17" t="s">
        <v>1242</v>
      </c>
      <c r="E7" s="17" t="s">
        <v>1243</v>
      </c>
      <c r="F7" s="17" t="s">
        <v>1244</v>
      </c>
    </row>
    <row r="8" customFormat="false" ht="23.85" hidden="false" customHeight="false" outlineLevel="0" collapsed="false">
      <c r="A8" s="15" t="s">
        <v>1245</v>
      </c>
      <c r="B8" s="16" t="s">
        <v>1246</v>
      </c>
      <c r="C8" s="15" t="s">
        <v>1247</v>
      </c>
      <c r="D8" s="15" t="s">
        <v>693</v>
      </c>
      <c r="E8" s="15" t="s">
        <v>1248</v>
      </c>
      <c r="F8" s="15" t="s">
        <v>1249</v>
      </c>
    </row>
    <row r="9" customFormat="false" ht="15" hidden="false" customHeight="false" outlineLevel="0" collapsed="false">
      <c r="A9" s="17" t="s">
        <v>1250</v>
      </c>
      <c r="B9" s="18" t="s">
        <v>1251</v>
      </c>
      <c r="C9" s="17" t="s">
        <v>1252</v>
      </c>
      <c r="D9" s="17" t="s">
        <v>1253</v>
      </c>
      <c r="E9" s="17" t="s">
        <v>1254</v>
      </c>
      <c r="F9" s="17" t="s">
        <v>1255</v>
      </c>
    </row>
    <row r="10" customFormat="false" ht="15" hidden="false" customHeight="false" outlineLevel="0" collapsed="false">
      <c r="A10" s="15" t="s">
        <v>1256</v>
      </c>
      <c r="B10" s="16" t="s">
        <v>1257</v>
      </c>
      <c r="C10" s="15" t="s">
        <v>1258</v>
      </c>
      <c r="D10" s="15" t="s">
        <v>1259</v>
      </c>
      <c r="E10" s="15" t="s">
        <v>1260</v>
      </c>
      <c r="F10" s="15" t="s">
        <v>1261</v>
      </c>
    </row>
    <row r="11" customFormat="false" ht="15" hidden="false" customHeight="false" outlineLevel="0" collapsed="false">
      <c r="A11" s="17" t="s">
        <v>1262</v>
      </c>
      <c r="B11" s="18" t="s">
        <v>1263</v>
      </c>
      <c r="C11" s="17" t="s">
        <v>1264</v>
      </c>
      <c r="D11" s="17" t="s">
        <v>351</v>
      </c>
      <c r="E11" s="17" t="s">
        <v>1265</v>
      </c>
      <c r="F11" s="17" t="s">
        <v>1266</v>
      </c>
    </row>
    <row r="12" customFormat="false" ht="15" hidden="false" customHeight="false" outlineLevel="0" collapsed="false">
      <c r="A12" s="15" t="s">
        <v>1267</v>
      </c>
      <c r="B12" s="16" t="s">
        <v>1268</v>
      </c>
      <c r="C12" s="15" t="s">
        <v>1269</v>
      </c>
      <c r="D12" s="15" t="s">
        <v>1270</v>
      </c>
      <c r="E12" s="15" t="s">
        <v>1271</v>
      </c>
      <c r="F12" s="15" t="s">
        <v>1272</v>
      </c>
    </row>
    <row r="13" customFormat="false" ht="23.85" hidden="false" customHeight="false" outlineLevel="0" collapsed="false">
      <c r="A13" s="17" t="s">
        <v>1273</v>
      </c>
      <c r="B13" s="18" t="s">
        <v>432</v>
      </c>
      <c r="C13" s="17" t="s">
        <v>1274</v>
      </c>
      <c r="D13" s="17" t="s">
        <v>1275</v>
      </c>
      <c r="E13" s="17" t="s">
        <v>1276</v>
      </c>
      <c r="F13" s="17" t="s">
        <v>1277</v>
      </c>
    </row>
    <row r="14" customFormat="false" ht="23.85" hidden="false" customHeight="false" outlineLevel="0" collapsed="false">
      <c r="A14" s="15" t="s">
        <v>1278</v>
      </c>
      <c r="B14" s="16" t="s">
        <v>1279</v>
      </c>
      <c r="C14" s="15" t="s">
        <v>1280</v>
      </c>
      <c r="D14" s="15" t="s">
        <v>1281</v>
      </c>
      <c r="E14" s="15" t="s">
        <v>1282</v>
      </c>
      <c r="F14" s="15" t="s">
        <v>1283</v>
      </c>
    </row>
    <row r="15" customFormat="false" ht="15" hidden="false" customHeight="false" outlineLevel="0" collapsed="false">
      <c r="A15" s="17" t="s">
        <v>1284</v>
      </c>
      <c r="B15" s="18" t="s">
        <v>1285</v>
      </c>
      <c r="C15" s="17" t="s">
        <v>1286</v>
      </c>
      <c r="D15" s="17" t="s">
        <v>1287</v>
      </c>
      <c r="E15" s="17" t="s">
        <v>1288</v>
      </c>
      <c r="F15" s="17" t="s">
        <v>1289</v>
      </c>
    </row>
    <row r="16" customFormat="false" ht="23.85" hidden="false" customHeight="false" outlineLevel="0" collapsed="false">
      <c r="A16" s="15" t="s">
        <v>1290</v>
      </c>
      <c r="B16" s="16" t="s">
        <v>1291</v>
      </c>
      <c r="C16" s="15" t="s">
        <v>1292</v>
      </c>
      <c r="D16" s="15" t="s">
        <v>1293</v>
      </c>
      <c r="E16" s="15" t="s">
        <v>1294</v>
      </c>
      <c r="F16" s="15" t="s">
        <v>1295</v>
      </c>
    </row>
    <row r="17" customFormat="false" ht="23.85" hidden="false" customHeight="false" outlineLevel="0" collapsed="false">
      <c r="A17" s="17" t="s">
        <v>1296</v>
      </c>
      <c r="B17" s="18" t="s">
        <v>1297</v>
      </c>
      <c r="C17" s="17" t="s">
        <v>1298</v>
      </c>
      <c r="D17" s="17" t="s">
        <v>1299</v>
      </c>
      <c r="E17" s="17" t="s">
        <v>1300</v>
      </c>
      <c r="F17" s="17" t="s">
        <v>1301</v>
      </c>
    </row>
    <row r="18" customFormat="false" ht="23.85" hidden="false" customHeight="false" outlineLevel="0" collapsed="false">
      <c r="A18" s="15" t="s">
        <v>1302</v>
      </c>
      <c r="B18" s="16" t="s">
        <v>1303</v>
      </c>
      <c r="C18" s="15" t="s">
        <v>1304</v>
      </c>
      <c r="D18" s="15" t="s">
        <v>1305</v>
      </c>
      <c r="E18" s="15" t="s">
        <v>1306</v>
      </c>
      <c r="F18" s="15" t="s">
        <v>1307</v>
      </c>
    </row>
    <row r="19" customFormat="false" ht="23.85" hidden="false" customHeight="false" outlineLevel="0" collapsed="false">
      <c r="A19" s="17" t="s">
        <v>1308</v>
      </c>
      <c r="B19" s="18" t="s">
        <v>1309</v>
      </c>
      <c r="C19" s="17" t="s">
        <v>1310</v>
      </c>
      <c r="D19" s="17" t="s">
        <v>931</v>
      </c>
      <c r="E19" s="17" t="s">
        <v>1311</v>
      </c>
      <c r="F19" s="17" t="s">
        <v>1312</v>
      </c>
    </row>
    <row r="20" customFormat="false" ht="15" hidden="false" customHeight="false" outlineLevel="0" collapsed="false">
      <c r="A20" s="15" t="s">
        <v>1313</v>
      </c>
      <c r="B20" s="16" t="s">
        <v>1314</v>
      </c>
      <c r="C20" s="15" t="s">
        <v>1315</v>
      </c>
      <c r="D20" s="15" t="s">
        <v>1316</v>
      </c>
      <c r="E20" s="15" t="s">
        <v>1317</v>
      </c>
      <c r="F20" s="15" t="s">
        <v>1318</v>
      </c>
    </row>
    <row r="21" customFormat="false" ht="23.85" hidden="false" customHeight="false" outlineLevel="0" collapsed="false">
      <c r="A21" s="17" t="s">
        <v>1319</v>
      </c>
      <c r="B21" s="18" t="s">
        <v>1320</v>
      </c>
      <c r="C21" s="17" t="s">
        <v>1321</v>
      </c>
      <c r="D21" s="17" t="s">
        <v>1322</v>
      </c>
      <c r="E21" s="17" t="s">
        <v>1323</v>
      </c>
      <c r="F21" s="17" t="s">
        <v>1324</v>
      </c>
    </row>
    <row r="22" customFormat="false" ht="23.85" hidden="false" customHeight="false" outlineLevel="0" collapsed="false">
      <c r="A22" s="15" t="s">
        <v>1325</v>
      </c>
      <c r="B22" s="16" t="s">
        <v>1326</v>
      </c>
      <c r="C22" s="15" t="s">
        <v>1327</v>
      </c>
      <c r="D22" s="15" t="s">
        <v>1328</v>
      </c>
      <c r="E22" s="15" t="s">
        <v>1329</v>
      </c>
      <c r="F22" s="15" t="s">
        <v>1330</v>
      </c>
    </row>
    <row r="23" customFormat="false" ht="23.85" hidden="false" customHeight="false" outlineLevel="0" collapsed="false">
      <c r="A23" s="17" t="s">
        <v>1331</v>
      </c>
      <c r="B23" s="18" t="s">
        <v>1332</v>
      </c>
      <c r="C23" s="17" t="s">
        <v>1333</v>
      </c>
      <c r="D23" s="17" t="s">
        <v>1334</v>
      </c>
      <c r="E23" s="17" t="s">
        <v>1335</v>
      </c>
      <c r="F23" s="17" t="s">
        <v>1336</v>
      </c>
    </row>
    <row r="24" customFormat="false" ht="15" hidden="false" customHeight="false" outlineLevel="0" collapsed="false">
      <c r="A24" s="15" t="s">
        <v>1337</v>
      </c>
      <c r="B24" s="16" t="s">
        <v>1338</v>
      </c>
      <c r="C24" s="15" t="s">
        <v>1339</v>
      </c>
      <c r="D24" s="15" t="s">
        <v>1340</v>
      </c>
      <c r="E24" s="15" t="s">
        <v>1341</v>
      </c>
      <c r="F24" s="15" t="s">
        <v>1342</v>
      </c>
    </row>
    <row r="25" customFormat="false" ht="15" hidden="false" customHeight="false" outlineLevel="0" collapsed="false">
      <c r="A25" s="17" t="s">
        <v>1343</v>
      </c>
      <c r="B25" s="18" t="s">
        <v>1344</v>
      </c>
      <c r="C25" s="17" t="s">
        <v>1345</v>
      </c>
      <c r="D25" s="17" t="s">
        <v>901</v>
      </c>
      <c r="E25" s="17" t="s">
        <v>1346</v>
      </c>
      <c r="F25" s="17" t="s">
        <v>1347</v>
      </c>
    </row>
    <row r="26" customFormat="false" ht="23.85" hidden="false" customHeight="false" outlineLevel="0" collapsed="false">
      <c r="A26" s="15" t="s">
        <v>1348</v>
      </c>
      <c r="B26" s="16" t="s">
        <v>1349</v>
      </c>
      <c r="C26" s="15" t="s">
        <v>1350</v>
      </c>
      <c r="D26" s="15" t="s">
        <v>1351</v>
      </c>
      <c r="E26" s="15" t="s">
        <v>1352</v>
      </c>
      <c r="F26" s="15" t="s">
        <v>1353</v>
      </c>
    </row>
    <row r="27" customFormat="false" ht="23.85" hidden="false" customHeight="false" outlineLevel="0" collapsed="false">
      <c r="A27" s="17" t="s">
        <v>1354</v>
      </c>
      <c r="B27" s="18" t="s">
        <v>1355</v>
      </c>
      <c r="C27" s="17" t="s">
        <v>1356</v>
      </c>
      <c r="D27" s="17" t="s">
        <v>1357</v>
      </c>
      <c r="E27" s="17" t="s">
        <v>1358</v>
      </c>
      <c r="F27" s="17" t="s">
        <v>1359</v>
      </c>
    </row>
    <row r="28" customFormat="false" ht="15" hidden="false" customHeight="false" outlineLevel="0" collapsed="false">
      <c r="A28" s="15" t="s">
        <v>1360</v>
      </c>
      <c r="B28" s="16" t="s">
        <v>1361</v>
      </c>
      <c r="C28" s="15" t="s">
        <v>1362</v>
      </c>
      <c r="D28" s="15" t="s">
        <v>1363</v>
      </c>
      <c r="E28" s="15" t="s">
        <v>1364</v>
      </c>
      <c r="F28" s="15" t="s">
        <v>1365</v>
      </c>
    </row>
    <row r="29" customFormat="false" ht="23.85" hidden="false" customHeight="false" outlineLevel="0" collapsed="false">
      <c r="A29" s="17" t="s">
        <v>1366</v>
      </c>
      <c r="B29" s="18" t="s">
        <v>1367</v>
      </c>
      <c r="C29" s="17" t="s">
        <v>1368</v>
      </c>
      <c r="D29" s="17" t="s">
        <v>1369</v>
      </c>
      <c r="E29" s="17" t="s">
        <v>1370</v>
      </c>
      <c r="F29" s="17" t="s">
        <v>1371</v>
      </c>
    </row>
    <row r="30" customFormat="false" ht="23.85" hidden="false" customHeight="false" outlineLevel="0" collapsed="false">
      <c r="A30" s="15" t="s">
        <v>1372</v>
      </c>
      <c r="B30" s="16" t="s">
        <v>1373</v>
      </c>
      <c r="C30" s="15" t="s">
        <v>1374</v>
      </c>
      <c r="D30" s="15" t="s">
        <v>1375</v>
      </c>
      <c r="E30" s="15" t="s">
        <v>1376</v>
      </c>
      <c r="F30" s="15" t="s">
        <v>1377</v>
      </c>
    </row>
    <row r="31" customFormat="false" ht="23.85" hidden="false" customHeight="false" outlineLevel="0" collapsed="false">
      <c r="A31" s="17" t="s">
        <v>1378</v>
      </c>
      <c r="B31" s="18" t="s">
        <v>1379</v>
      </c>
      <c r="C31" s="17" t="s">
        <v>1380</v>
      </c>
      <c r="D31" s="17" t="s">
        <v>1381</v>
      </c>
      <c r="E31" s="17" t="s">
        <v>1382</v>
      </c>
      <c r="F31" s="17" t="s">
        <v>1383</v>
      </c>
    </row>
    <row r="32" customFormat="false" ht="23.85" hidden="false" customHeight="false" outlineLevel="0" collapsed="false">
      <c r="A32" s="15" t="s">
        <v>1384</v>
      </c>
      <c r="B32" s="16" t="s">
        <v>1385</v>
      </c>
      <c r="C32" s="15" t="s">
        <v>1386</v>
      </c>
      <c r="D32" s="15" t="s">
        <v>1387</v>
      </c>
      <c r="E32" s="15" t="s">
        <v>1388</v>
      </c>
      <c r="F32" s="15" t="s">
        <v>1389</v>
      </c>
    </row>
    <row r="33" customFormat="false" ht="23.85" hidden="false" customHeight="false" outlineLevel="0" collapsed="false">
      <c r="A33" s="17" t="s">
        <v>1390</v>
      </c>
      <c r="B33" s="18" t="s">
        <v>1391</v>
      </c>
      <c r="C33" s="17" t="s">
        <v>1392</v>
      </c>
      <c r="D33" s="17" t="s">
        <v>1393</v>
      </c>
      <c r="E33" s="17" t="s">
        <v>1394</v>
      </c>
      <c r="F33" s="17" t="s">
        <v>1395</v>
      </c>
    </row>
    <row r="34" customFormat="false" ht="15" hidden="false" customHeight="false" outlineLevel="0" collapsed="false">
      <c r="A34" s="15" t="s">
        <v>1396</v>
      </c>
      <c r="B34" s="16" t="s">
        <v>1397</v>
      </c>
      <c r="C34" s="15" t="s">
        <v>1398</v>
      </c>
      <c r="D34" s="15" t="s">
        <v>1399</v>
      </c>
      <c r="E34" s="15" t="s">
        <v>1400</v>
      </c>
      <c r="F34" s="15" t="s">
        <v>1401</v>
      </c>
    </row>
    <row r="35" customFormat="false" ht="23.85" hidden="false" customHeight="false" outlineLevel="0" collapsed="false">
      <c r="A35" s="17" t="s">
        <v>1402</v>
      </c>
      <c r="B35" s="18" t="s">
        <v>1403</v>
      </c>
      <c r="C35" s="17" t="s">
        <v>1404</v>
      </c>
      <c r="D35" s="17" t="s">
        <v>1405</v>
      </c>
      <c r="E35" s="17" t="s">
        <v>1406</v>
      </c>
      <c r="F35" s="17" t="s">
        <v>1407</v>
      </c>
    </row>
    <row r="36" customFormat="false" ht="23.85" hidden="false" customHeight="false" outlineLevel="0" collapsed="false">
      <c r="A36" s="15" t="s">
        <v>1408</v>
      </c>
      <c r="B36" s="16" t="s">
        <v>1409</v>
      </c>
      <c r="C36" s="15" t="s">
        <v>1410</v>
      </c>
      <c r="D36" s="15" t="s">
        <v>1411</v>
      </c>
      <c r="E36" s="15" t="s">
        <v>1412</v>
      </c>
      <c r="F36" s="15" t="s">
        <v>1413</v>
      </c>
    </row>
    <row r="37" customFormat="false" ht="23.85" hidden="false" customHeight="false" outlineLevel="0" collapsed="false">
      <c r="A37" s="17" t="s">
        <v>1414</v>
      </c>
      <c r="B37" s="18" t="s">
        <v>1415</v>
      </c>
      <c r="C37" s="17" t="s">
        <v>1416</v>
      </c>
      <c r="D37" s="17" t="s">
        <v>1417</v>
      </c>
      <c r="E37" s="17" t="s">
        <v>1418</v>
      </c>
      <c r="F37" s="17" t="s">
        <v>1419</v>
      </c>
    </row>
    <row r="38" customFormat="false" ht="23.85" hidden="false" customHeight="false" outlineLevel="0" collapsed="false">
      <c r="A38" s="15" t="s">
        <v>1420</v>
      </c>
      <c r="B38" s="16" t="s">
        <v>1421</v>
      </c>
      <c r="C38" s="15" t="s">
        <v>1422</v>
      </c>
      <c r="D38" s="15" t="s">
        <v>1423</v>
      </c>
      <c r="E38" s="15" t="s">
        <v>1424</v>
      </c>
      <c r="F38" s="15" t="s">
        <v>1425</v>
      </c>
    </row>
    <row r="39" customFormat="false" ht="23.85" hidden="false" customHeight="false" outlineLevel="0" collapsed="false">
      <c r="A39" s="17" t="s">
        <v>1426</v>
      </c>
      <c r="B39" s="18" t="s">
        <v>1427</v>
      </c>
      <c r="C39" s="17" t="s">
        <v>1428</v>
      </c>
      <c r="D39" s="17" t="s">
        <v>1429</v>
      </c>
      <c r="E39" s="17" t="s">
        <v>1167</v>
      </c>
      <c r="F39" s="17" t="s">
        <v>1430</v>
      </c>
    </row>
    <row r="40" customFormat="false" ht="23.85" hidden="false" customHeight="false" outlineLevel="0" collapsed="false">
      <c r="A40" s="15" t="s">
        <v>1431</v>
      </c>
      <c r="B40" s="16" t="s">
        <v>1432</v>
      </c>
      <c r="C40" s="15" t="s">
        <v>1433</v>
      </c>
      <c r="D40" s="15" t="s">
        <v>504</v>
      </c>
      <c r="E40" s="15" t="s">
        <v>1434</v>
      </c>
      <c r="F40" s="15" t="s">
        <v>1435</v>
      </c>
    </row>
    <row r="41" customFormat="false" ht="23.85" hidden="false" customHeight="false" outlineLevel="0" collapsed="false">
      <c r="A41" s="17" t="s">
        <v>1436</v>
      </c>
      <c r="B41" s="18" t="s">
        <v>1437</v>
      </c>
      <c r="C41" s="17" t="s">
        <v>1438</v>
      </c>
      <c r="D41" s="17" t="s">
        <v>1439</v>
      </c>
      <c r="E41" s="17" t="s">
        <v>1440</v>
      </c>
      <c r="F41" s="17" t="s">
        <v>1441</v>
      </c>
    </row>
    <row r="42" customFormat="false" ht="23.85" hidden="false" customHeight="false" outlineLevel="0" collapsed="false">
      <c r="A42" s="15" t="s">
        <v>1442</v>
      </c>
      <c r="B42" s="16" t="s">
        <v>1443</v>
      </c>
      <c r="C42" s="15" t="s">
        <v>1444</v>
      </c>
      <c r="D42" s="15" t="s">
        <v>709</v>
      </c>
      <c r="E42" s="15" t="s">
        <v>706</v>
      </c>
      <c r="F42" s="15" t="s">
        <v>1445</v>
      </c>
    </row>
    <row r="43" customFormat="false" ht="15" hidden="false" customHeight="false" outlineLevel="0" collapsed="false">
      <c r="A43" s="17" t="s">
        <v>1446</v>
      </c>
      <c r="B43" s="18" t="s">
        <v>1447</v>
      </c>
      <c r="C43" s="17" t="s">
        <v>1448</v>
      </c>
      <c r="D43" s="17" t="s">
        <v>1449</v>
      </c>
      <c r="E43" s="17" t="s">
        <v>1450</v>
      </c>
      <c r="F43" s="17" t="s">
        <v>1451</v>
      </c>
    </row>
    <row r="44" customFormat="false" ht="15" hidden="false" customHeight="false" outlineLevel="0" collapsed="false">
      <c r="A44" s="15" t="s">
        <v>1452</v>
      </c>
      <c r="B44" s="16" t="s">
        <v>669</v>
      </c>
      <c r="C44" s="15" t="s">
        <v>1453</v>
      </c>
      <c r="D44" s="15" t="s">
        <v>1454</v>
      </c>
      <c r="E44" s="15" t="s">
        <v>1455</v>
      </c>
      <c r="F44" s="15" t="s">
        <v>1456</v>
      </c>
    </row>
    <row r="45" customFormat="false" ht="15" hidden="false" customHeight="false" outlineLevel="0" collapsed="false">
      <c r="A45" s="17" t="s">
        <v>1457</v>
      </c>
      <c r="B45" s="18" t="s">
        <v>1458</v>
      </c>
      <c r="C45" s="17" t="s">
        <v>1459</v>
      </c>
      <c r="D45" s="17" t="s">
        <v>1460</v>
      </c>
      <c r="E45" s="17" t="s">
        <v>1461</v>
      </c>
      <c r="F45" s="17" t="s">
        <v>1462</v>
      </c>
    </row>
    <row r="46" customFormat="false" ht="15" hidden="false" customHeight="false" outlineLevel="0" collapsed="false">
      <c r="A46" s="15" t="s">
        <v>1463</v>
      </c>
      <c r="B46" s="16" t="s">
        <v>1464</v>
      </c>
      <c r="C46" s="15" t="s">
        <v>1465</v>
      </c>
      <c r="D46" s="15" t="s">
        <v>1466</v>
      </c>
      <c r="E46" s="15" t="s">
        <v>1467</v>
      </c>
      <c r="F46" s="15" t="s">
        <v>1468</v>
      </c>
    </row>
    <row r="47" customFormat="false" ht="23.85" hidden="false" customHeight="false" outlineLevel="0" collapsed="false">
      <c r="A47" s="17" t="s">
        <v>1469</v>
      </c>
      <c r="B47" s="18" t="s">
        <v>1470</v>
      </c>
      <c r="C47" s="17" t="s">
        <v>1471</v>
      </c>
      <c r="D47" s="17" t="s">
        <v>1472</v>
      </c>
      <c r="E47" s="17" t="s">
        <v>1473</v>
      </c>
      <c r="F47" s="17" t="s">
        <v>1474</v>
      </c>
    </row>
    <row r="48" customFormat="false" ht="23.85" hidden="false" customHeight="false" outlineLevel="0" collapsed="false">
      <c r="A48" s="15" t="s">
        <v>1475</v>
      </c>
      <c r="B48" s="16" t="s">
        <v>1476</v>
      </c>
      <c r="C48" s="15" t="s">
        <v>1477</v>
      </c>
      <c r="D48" s="15" t="s">
        <v>1478</v>
      </c>
      <c r="E48" s="15" t="s">
        <v>1479</v>
      </c>
      <c r="F48" s="15" t="s">
        <v>1480</v>
      </c>
    </row>
    <row r="49" customFormat="false" ht="23.85" hidden="false" customHeight="false" outlineLevel="0" collapsed="false">
      <c r="A49" s="17" t="s">
        <v>1481</v>
      </c>
      <c r="B49" s="18" t="s">
        <v>1482</v>
      </c>
      <c r="C49" s="17" t="s">
        <v>1483</v>
      </c>
      <c r="D49" s="17" t="s">
        <v>1484</v>
      </c>
      <c r="E49" s="17" t="s">
        <v>1485</v>
      </c>
      <c r="F49" s="17" t="s">
        <v>1486</v>
      </c>
    </row>
  </sheetData>
  <autoFilter ref="A1:F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26"/>
    <col collapsed="false" customWidth="true" hidden="false" outlineLevel="0" max="7" min="7" style="0" width="40"/>
  </cols>
  <sheetData>
    <row r="1" customFormat="false" ht="31.5" hidden="false" customHeight="true" outlineLevel="0" collapsed="false">
      <c r="A1" s="14" t="s">
        <v>69</v>
      </c>
      <c r="B1" s="14" t="s">
        <v>1487</v>
      </c>
      <c r="C1" s="14" t="s">
        <v>1488</v>
      </c>
      <c r="D1" s="14" t="s">
        <v>1489</v>
      </c>
      <c r="E1" s="14" t="s">
        <v>1490</v>
      </c>
      <c r="F1" s="14" t="s">
        <v>1491</v>
      </c>
      <c r="G1" s="14" t="s">
        <v>1492</v>
      </c>
    </row>
    <row r="2" customFormat="false" ht="23.85" hidden="false" customHeight="false" outlineLevel="0" collapsed="false">
      <c r="A2" s="15" t="s">
        <v>1493</v>
      </c>
      <c r="B2" s="16" t="s">
        <v>1494</v>
      </c>
      <c r="C2" s="15" t="s">
        <v>1495</v>
      </c>
      <c r="D2" s="15" t="s">
        <v>1496</v>
      </c>
      <c r="E2" s="15" t="s">
        <v>1497</v>
      </c>
      <c r="F2" s="15" t="s">
        <v>1498</v>
      </c>
      <c r="G2" s="15" t="s">
        <v>1499</v>
      </c>
    </row>
    <row r="3" customFormat="false" ht="15" hidden="false" customHeight="false" outlineLevel="0" collapsed="false">
      <c r="A3" s="17" t="s">
        <v>1500</v>
      </c>
      <c r="B3" s="18" t="s">
        <v>1501</v>
      </c>
      <c r="C3" s="17" t="s">
        <v>1502</v>
      </c>
      <c r="D3" s="17" t="s">
        <v>1496</v>
      </c>
      <c r="E3" s="17" t="s">
        <v>1503</v>
      </c>
      <c r="F3" s="17" t="s">
        <v>1504</v>
      </c>
      <c r="G3" s="17" t="s">
        <v>1505</v>
      </c>
    </row>
    <row r="4" customFormat="false" ht="15" hidden="false" customHeight="false" outlineLevel="0" collapsed="false">
      <c r="A4" s="15" t="s">
        <v>1506</v>
      </c>
      <c r="B4" s="16" t="s">
        <v>1507</v>
      </c>
      <c r="C4" s="15" t="s">
        <v>1508</v>
      </c>
      <c r="D4" s="15" t="s">
        <v>1496</v>
      </c>
      <c r="E4" s="15" t="s">
        <v>1509</v>
      </c>
      <c r="F4" s="15" t="s">
        <v>1504</v>
      </c>
      <c r="G4" s="15" t="s">
        <v>1510</v>
      </c>
    </row>
    <row r="5" customFormat="false" ht="15" hidden="false" customHeight="false" outlineLevel="0" collapsed="false">
      <c r="A5" s="17" t="s">
        <v>1511</v>
      </c>
      <c r="B5" s="18" t="s">
        <v>1512</v>
      </c>
      <c r="C5" s="17" t="s">
        <v>1513</v>
      </c>
      <c r="D5" s="17" t="s">
        <v>1496</v>
      </c>
      <c r="E5" s="17" t="s">
        <v>1514</v>
      </c>
      <c r="F5" s="17" t="s">
        <v>1515</v>
      </c>
      <c r="G5" s="17" t="s">
        <v>1516</v>
      </c>
    </row>
    <row r="6" customFormat="false" ht="15" hidden="false" customHeight="false" outlineLevel="0" collapsed="false">
      <c r="A6" s="15" t="s">
        <v>1517</v>
      </c>
      <c r="B6" s="16" t="s">
        <v>1518</v>
      </c>
      <c r="C6" s="15" t="s">
        <v>1519</v>
      </c>
      <c r="D6" s="15" t="s">
        <v>1496</v>
      </c>
      <c r="E6" s="15" t="s">
        <v>1520</v>
      </c>
      <c r="F6" s="15" t="s">
        <v>1521</v>
      </c>
      <c r="G6" s="15" t="s">
        <v>1522</v>
      </c>
    </row>
    <row r="7" customFormat="false" ht="23.85" hidden="false" customHeight="false" outlineLevel="0" collapsed="false">
      <c r="A7" s="17" t="s">
        <v>1523</v>
      </c>
      <c r="B7" s="18" t="s">
        <v>1524</v>
      </c>
      <c r="C7" s="17" t="s">
        <v>1525</v>
      </c>
      <c r="D7" s="17" t="s">
        <v>1496</v>
      </c>
      <c r="E7" s="17" t="s">
        <v>1526</v>
      </c>
      <c r="F7" s="17" t="s">
        <v>173</v>
      </c>
      <c r="G7" s="17" t="s">
        <v>1527</v>
      </c>
    </row>
    <row r="8" customFormat="false" ht="15" hidden="false" customHeight="false" outlineLevel="0" collapsed="false">
      <c r="A8" s="15" t="s">
        <v>1528</v>
      </c>
      <c r="B8" s="16" t="s">
        <v>1529</v>
      </c>
      <c r="C8" s="15" t="s">
        <v>1530</v>
      </c>
      <c r="D8" s="15" t="s">
        <v>1496</v>
      </c>
      <c r="E8" s="15" t="s">
        <v>1531</v>
      </c>
      <c r="F8" s="15" t="s">
        <v>1532</v>
      </c>
      <c r="G8" s="15" t="s">
        <v>1533</v>
      </c>
    </row>
    <row r="9" customFormat="false" ht="15" hidden="false" customHeight="false" outlineLevel="0" collapsed="false">
      <c r="A9" s="17" t="s">
        <v>1534</v>
      </c>
      <c r="B9" s="18" t="s">
        <v>1535</v>
      </c>
      <c r="C9" s="17" t="s">
        <v>1536</v>
      </c>
      <c r="D9" s="17" t="s">
        <v>1496</v>
      </c>
      <c r="E9" s="17" t="s">
        <v>1537</v>
      </c>
      <c r="F9" s="17" t="s">
        <v>1538</v>
      </c>
      <c r="G9" s="17" t="s">
        <v>1539</v>
      </c>
    </row>
    <row r="10" customFormat="false" ht="23.85" hidden="false" customHeight="false" outlineLevel="0" collapsed="false">
      <c r="A10" s="15" t="s">
        <v>1540</v>
      </c>
      <c r="B10" s="16" t="s">
        <v>1541</v>
      </c>
      <c r="C10" s="15" t="s">
        <v>1542</v>
      </c>
      <c r="D10" s="15" t="s">
        <v>1496</v>
      </c>
      <c r="E10" s="15" t="s">
        <v>1543</v>
      </c>
      <c r="F10" s="15" t="s">
        <v>1544</v>
      </c>
      <c r="G10" s="15" t="s">
        <v>1545</v>
      </c>
    </row>
    <row r="11" customFormat="false" ht="23.85" hidden="false" customHeight="false" outlineLevel="0" collapsed="false">
      <c r="A11" s="17" t="s">
        <v>1546</v>
      </c>
      <c r="B11" s="18" t="s">
        <v>1547</v>
      </c>
      <c r="C11" s="17" t="s">
        <v>1548</v>
      </c>
      <c r="D11" s="17" t="s">
        <v>1549</v>
      </c>
      <c r="E11" s="17" t="s">
        <v>1550</v>
      </c>
      <c r="F11" s="17" t="s">
        <v>173</v>
      </c>
      <c r="G11" s="17" t="s">
        <v>1551</v>
      </c>
    </row>
    <row r="12" customFormat="false" ht="23.85" hidden="false" customHeight="false" outlineLevel="0" collapsed="false">
      <c r="A12" s="15" t="s">
        <v>1552</v>
      </c>
      <c r="B12" s="16" t="s">
        <v>1553</v>
      </c>
      <c r="C12" s="15" t="s">
        <v>1554</v>
      </c>
      <c r="D12" s="15" t="s">
        <v>1496</v>
      </c>
      <c r="E12" s="15" t="s">
        <v>1555</v>
      </c>
      <c r="F12" s="15" t="s">
        <v>173</v>
      </c>
      <c r="G12" s="15" t="s">
        <v>1556</v>
      </c>
    </row>
    <row r="13" customFormat="false" ht="23.85" hidden="false" customHeight="false" outlineLevel="0" collapsed="false">
      <c r="A13" s="17" t="s">
        <v>1557</v>
      </c>
      <c r="B13" s="18" t="s">
        <v>1558</v>
      </c>
      <c r="C13" s="17" t="s">
        <v>1559</v>
      </c>
      <c r="D13" s="17" t="s">
        <v>1496</v>
      </c>
      <c r="E13" s="17" t="s">
        <v>1560</v>
      </c>
      <c r="F13" s="17" t="s">
        <v>173</v>
      </c>
      <c r="G13" s="17" t="s">
        <v>1561</v>
      </c>
    </row>
    <row r="14" customFormat="false" ht="23.85" hidden="false" customHeight="false" outlineLevel="0" collapsed="false">
      <c r="A14" s="15" t="s">
        <v>1562</v>
      </c>
      <c r="B14" s="16" t="s">
        <v>1563</v>
      </c>
      <c r="C14" s="15" t="s">
        <v>1564</v>
      </c>
      <c r="D14" s="15" t="s">
        <v>1496</v>
      </c>
      <c r="E14" s="15" t="s">
        <v>1565</v>
      </c>
      <c r="F14" s="15" t="s">
        <v>1566</v>
      </c>
      <c r="G14" s="15" t="s">
        <v>1567</v>
      </c>
    </row>
    <row r="15" customFormat="false" ht="15" hidden="false" customHeight="false" outlineLevel="0" collapsed="false">
      <c r="A15" s="17" t="s">
        <v>1568</v>
      </c>
      <c r="B15" s="18" t="s">
        <v>1569</v>
      </c>
      <c r="C15" s="17" t="s">
        <v>1570</v>
      </c>
      <c r="D15" s="17" t="s">
        <v>1549</v>
      </c>
      <c r="E15" s="17" t="s">
        <v>1571</v>
      </c>
      <c r="F15" s="17" t="s">
        <v>1566</v>
      </c>
      <c r="G15" s="17" t="s">
        <v>1572</v>
      </c>
    </row>
    <row r="16" customFormat="false" ht="23.85" hidden="false" customHeight="false" outlineLevel="0" collapsed="false">
      <c r="A16" s="15" t="s">
        <v>1573</v>
      </c>
      <c r="B16" s="16" t="s">
        <v>1574</v>
      </c>
      <c r="C16" s="15" t="s">
        <v>1575</v>
      </c>
      <c r="D16" s="15" t="s">
        <v>1496</v>
      </c>
      <c r="E16" s="15" t="s">
        <v>1576</v>
      </c>
      <c r="F16" s="15" t="s">
        <v>1566</v>
      </c>
      <c r="G16" s="15" t="s">
        <v>1577</v>
      </c>
    </row>
    <row r="17" customFormat="false" ht="15" hidden="false" customHeight="false" outlineLevel="0" collapsed="false">
      <c r="A17" s="17" t="s">
        <v>1578</v>
      </c>
      <c r="B17" s="18" t="s">
        <v>1579</v>
      </c>
      <c r="C17" s="17"/>
      <c r="D17" s="17" t="s">
        <v>1496</v>
      </c>
      <c r="E17" s="17" t="s">
        <v>1580</v>
      </c>
      <c r="F17" s="17" t="s">
        <v>1566</v>
      </c>
      <c r="G17" s="17" t="s">
        <v>1581</v>
      </c>
    </row>
    <row r="18" customFormat="false" ht="15" hidden="false" customHeight="false" outlineLevel="0" collapsed="false">
      <c r="A18" s="15" t="s">
        <v>1582</v>
      </c>
      <c r="B18" s="16" t="s">
        <v>1583</v>
      </c>
      <c r="C18" s="15" t="s">
        <v>1584</v>
      </c>
      <c r="D18" s="15" t="s">
        <v>1549</v>
      </c>
      <c r="E18" s="15" t="s">
        <v>1585</v>
      </c>
      <c r="F18" s="15" t="s">
        <v>1586</v>
      </c>
      <c r="G18" s="15" t="s">
        <v>1587</v>
      </c>
    </row>
    <row r="19" customFormat="false" ht="23.85" hidden="false" customHeight="false" outlineLevel="0" collapsed="false">
      <c r="A19" s="17" t="s">
        <v>1588</v>
      </c>
      <c r="B19" s="18" t="s">
        <v>1589</v>
      </c>
      <c r="C19" s="17" t="s">
        <v>1590</v>
      </c>
      <c r="D19" s="17" t="s">
        <v>1496</v>
      </c>
      <c r="E19" s="17" t="s">
        <v>1591</v>
      </c>
      <c r="F19" s="17" t="s">
        <v>173</v>
      </c>
      <c r="G19" s="17" t="s">
        <v>1592</v>
      </c>
    </row>
    <row r="20" customFormat="false" ht="15" hidden="false" customHeight="false" outlineLevel="0" collapsed="false">
      <c r="A20" s="15" t="s">
        <v>1593</v>
      </c>
      <c r="B20" s="16" t="s">
        <v>1594</v>
      </c>
      <c r="C20" s="15"/>
      <c r="D20" s="15" t="s">
        <v>1496</v>
      </c>
      <c r="E20" s="15" t="s">
        <v>1595</v>
      </c>
      <c r="F20" s="15" t="s">
        <v>173</v>
      </c>
      <c r="G20" s="15" t="s">
        <v>1596</v>
      </c>
    </row>
    <row r="21" customFormat="false" ht="23.85" hidden="false" customHeight="false" outlineLevel="0" collapsed="false">
      <c r="A21" s="17" t="s">
        <v>1597</v>
      </c>
      <c r="B21" s="18" t="s">
        <v>1598</v>
      </c>
      <c r="C21" s="17" t="s">
        <v>1599</v>
      </c>
      <c r="D21" s="17" t="s">
        <v>1496</v>
      </c>
      <c r="E21" s="17" t="s">
        <v>1600</v>
      </c>
      <c r="F21" s="17" t="s">
        <v>1601</v>
      </c>
      <c r="G21" s="17" t="s">
        <v>1602</v>
      </c>
    </row>
    <row r="22" customFormat="false" ht="23.85" hidden="false" customHeight="false" outlineLevel="0" collapsed="false">
      <c r="A22" s="15" t="s">
        <v>1603</v>
      </c>
      <c r="B22" s="16" t="s">
        <v>1604</v>
      </c>
      <c r="C22" s="15" t="s">
        <v>1605</v>
      </c>
      <c r="D22" s="15" t="s">
        <v>1496</v>
      </c>
      <c r="E22" s="15" t="s">
        <v>1606</v>
      </c>
      <c r="F22" s="15" t="s">
        <v>173</v>
      </c>
      <c r="G22" s="15" t="s">
        <v>1607</v>
      </c>
    </row>
    <row r="23" customFormat="false" ht="15" hidden="false" customHeight="false" outlineLevel="0" collapsed="false">
      <c r="A23" s="17" t="s">
        <v>1608</v>
      </c>
      <c r="B23" s="18" t="s">
        <v>1609</v>
      </c>
      <c r="C23" s="17" t="s">
        <v>1610</v>
      </c>
      <c r="D23" s="17" t="s">
        <v>1496</v>
      </c>
      <c r="E23" s="17" t="s">
        <v>1611</v>
      </c>
      <c r="F23" s="17" t="s">
        <v>173</v>
      </c>
      <c r="G23" s="17" t="s">
        <v>1612</v>
      </c>
    </row>
    <row r="24" customFormat="false" ht="23.85" hidden="false" customHeight="false" outlineLevel="0" collapsed="false">
      <c r="A24" s="15" t="s">
        <v>1613</v>
      </c>
      <c r="B24" s="16" t="s">
        <v>1614</v>
      </c>
      <c r="C24" s="15" t="s">
        <v>1615</v>
      </c>
      <c r="D24" s="15" t="s">
        <v>1496</v>
      </c>
      <c r="E24" s="15" t="s">
        <v>1616</v>
      </c>
      <c r="F24" s="15" t="s">
        <v>1617</v>
      </c>
      <c r="G24" s="15" t="s">
        <v>1618</v>
      </c>
    </row>
    <row r="25" customFormat="false" ht="23.85" hidden="false" customHeight="false" outlineLevel="0" collapsed="false">
      <c r="A25" s="17" t="s">
        <v>1619</v>
      </c>
      <c r="B25" s="18" t="s">
        <v>1620</v>
      </c>
      <c r="C25" s="17" t="s">
        <v>1621</v>
      </c>
      <c r="D25" s="17" t="s">
        <v>1622</v>
      </c>
      <c r="E25" s="17" t="s">
        <v>1623</v>
      </c>
      <c r="F25" s="17" t="s">
        <v>1624</v>
      </c>
      <c r="G25" s="17" t="s">
        <v>31</v>
      </c>
    </row>
    <row r="26" customFormat="false" ht="23.85" hidden="false" customHeight="false" outlineLevel="0" collapsed="false">
      <c r="A26" s="15" t="s">
        <v>1625</v>
      </c>
      <c r="B26" s="16" t="s">
        <v>1626</v>
      </c>
      <c r="C26" s="15" t="s">
        <v>1627</v>
      </c>
      <c r="D26" s="15" t="s">
        <v>1496</v>
      </c>
      <c r="E26" s="15" t="s">
        <v>1628</v>
      </c>
      <c r="F26" s="15" t="s">
        <v>1629</v>
      </c>
      <c r="G26" s="15" t="s">
        <v>1630</v>
      </c>
    </row>
    <row r="27" customFormat="false" ht="15" hidden="false" customHeight="false" outlineLevel="0" collapsed="false">
      <c r="A27" s="17" t="s">
        <v>1631</v>
      </c>
      <c r="B27" s="18" t="s">
        <v>1632</v>
      </c>
      <c r="C27" s="17"/>
      <c r="D27" s="17" t="s">
        <v>1496</v>
      </c>
      <c r="E27" s="17" t="s">
        <v>1633</v>
      </c>
      <c r="F27" s="17" t="s">
        <v>1634</v>
      </c>
      <c r="G27" s="17" t="s">
        <v>1635</v>
      </c>
    </row>
    <row r="28" customFormat="false" ht="15" hidden="false" customHeight="false" outlineLevel="0" collapsed="false">
      <c r="A28" s="15" t="s">
        <v>1636</v>
      </c>
      <c r="B28" s="16" t="s">
        <v>1637</v>
      </c>
      <c r="C28" s="15" t="s">
        <v>1638</v>
      </c>
      <c r="D28" s="15" t="s">
        <v>1549</v>
      </c>
      <c r="E28" s="15" t="s">
        <v>1639</v>
      </c>
      <c r="F28" s="15" t="s">
        <v>1640</v>
      </c>
      <c r="G28" s="15" t="s">
        <v>1641</v>
      </c>
    </row>
    <row r="29" customFormat="false" ht="15" hidden="false" customHeight="false" outlineLevel="0" collapsed="false">
      <c r="A29" s="17" t="s">
        <v>1642</v>
      </c>
      <c r="B29" s="18" t="s">
        <v>1643</v>
      </c>
      <c r="C29" s="17"/>
      <c r="D29" s="17" t="s">
        <v>1496</v>
      </c>
      <c r="E29" s="17" t="s">
        <v>1644</v>
      </c>
      <c r="F29" s="17" t="s">
        <v>1645</v>
      </c>
      <c r="G29" s="17" t="s">
        <v>1646</v>
      </c>
    </row>
    <row r="30" customFormat="false" ht="23.85" hidden="false" customHeight="false" outlineLevel="0" collapsed="false">
      <c r="A30" s="15" t="s">
        <v>1647</v>
      </c>
      <c r="B30" s="16" t="s">
        <v>1648</v>
      </c>
      <c r="C30" s="15" t="s">
        <v>1649</v>
      </c>
      <c r="D30" s="15" t="s">
        <v>1549</v>
      </c>
      <c r="E30" s="15" t="s">
        <v>1650</v>
      </c>
      <c r="F30" s="15" t="s">
        <v>1651</v>
      </c>
      <c r="G30" s="15" t="s">
        <v>1652</v>
      </c>
    </row>
    <row r="31" customFormat="false" ht="15" hidden="false" customHeight="false" outlineLevel="0" collapsed="false">
      <c r="A31" s="17" t="s">
        <v>1653</v>
      </c>
      <c r="B31" s="18" t="s">
        <v>1654</v>
      </c>
      <c r="C31" s="17" t="s">
        <v>1655</v>
      </c>
      <c r="D31" s="17" t="s">
        <v>1549</v>
      </c>
      <c r="E31" s="17" t="s">
        <v>1656</v>
      </c>
      <c r="F31" s="17" t="s">
        <v>1657</v>
      </c>
      <c r="G31" s="17" t="s">
        <v>1658</v>
      </c>
    </row>
    <row r="32" customFormat="false" ht="15" hidden="false" customHeight="false" outlineLevel="0" collapsed="false">
      <c r="A32" s="15" t="s">
        <v>1659</v>
      </c>
      <c r="B32" s="16" t="s">
        <v>1660</v>
      </c>
      <c r="C32" s="15" t="s">
        <v>1661</v>
      </c>
      <c r="D32" s="15" t="s">
        <v>1549</v>
      </c>
      <c r="E32" s="15" t="s">
        <v>1662</v>
      </c>
      <c r="F32" s="15" t="s">
        <v>173</v>
      </c>
      <c r="G32" s="15" t="s">
        <v>1663</v>
      </c>
    </row>
    <row r="33" customFormat="false" ht="23.85" hidden="false" customHeight="false" outlineLevel="0" collapsed="false">
      <c r="A33" s="17" t="s">
        <v>1664</v>
      </c>
      <c r="B33" s="18" t="s">
        <v>1665</v>
      </c>
      <c r="C33" s="17" t="s">
        <v>1666</v>
      </c>
      <c r="D33" s="17" t="s">
        <v>1549</v>
      </c>
      <c r="E33" s="17" t="s">
        <v>1667</v>
      </c>
      <c r="F33" s="17" t="s">
        <v>1668</v>
      </c>
      <c r="G33" s="17" t="s">
        <v>1669</v>
      </c>
    </row>
    <row r="34" customFormat="false" ht="15" hidden="false" customHeight="false" outlineLevel="0" collapsed="false">
      <c r="A34" s="15" t="s">
        <v>1670</v>
      </c>
      <c r="B34" s="16" t="s">
        <v>1671</v>
      </c>
      <c r="C34" s="15" t="s">
        <v>1672</v>
      </c>
      <c r="D34" s="15" t="s">
        <v>1549</v>
      </c>
      <c r="E34" s="15" t="s">
        <v>1673</v>
      </c>
      <c r="F34" s="15" t="s">
        <v>173</v>
      </c>
      <c r="G34" s="15" t="s">
        <v>1674</v>
      </c>
    </row>
    <row r="35" customFormat="false" ht="15" hidden="false" customHeight="false" outlineLevel="0" collapsed="false">
      <c r="A35" s="17" t="s">
        <v>1675</v>
      </c>
      <c r="B35" s="18" t="s">
        <v>1676</v>
      </c>
      <c r="C35" s="17" t="s">
        <v>1677</v>
      </c>
      <c r="D35" s="17" t="s">
        <v>1549</v>
      </c>
      <c r="E35" s="17" t="s">
        <v>1678</v>
      </c>
      <c r="F35" s="17" t="s">
        <v>173</v>
      </c>
      <c r="G35" s="17" t="s">
        <v>1679</v>
      </c>
    </row>
    <row r="36" customFormat="false" ht="23.85" hidden="false" customHeight="false" outlineLevel="0" collapsed="false">
      <c r="A36" s="15" t="s">
        <v>1680</v>
      </c>
      <c r="B36" s="16" t="s">
        <v>1681</v>
      </c>
      <c r="C36" s="15" t="s">
        <v>1682</v>
      </c>
      <c r="D36" s="15" t="s">
        <v>1549</v>
      </c>
      <c r="E36" s="15" t="s">
        <v>1683</v>
      </c>
      <c r="F36" s="15" t="s">
        <v>1684</v>
      </c>
      <c r="G36" s="15" t="s">
        <v>1685</v>
      </c>
    </row>
    <row r="37" customFormat="false" ht="15" hidden="false" customHeight="false" outlineLevel="0" collapsed="false">
      <c r="A37" s="17" t="s">
        <v>1686</v>
      </c>
      <c r="B37" s="18" t="s">
        <v>1687</v>
      </c>
      <c r="C37" s="17" t="s">
        <v>1688</v>
      </c>
      <c r="D37" s="17" t="s">
        <v>1549</v>
      </c>
      <c r="E37" s="17" t="s">
        <v>1689</v>
      </c>
      <c r="F37" s="17" t="s">
        <v>1690</v>
      </c>
      <c r="G37" s="17" t="s">
        <v>1691</v>
      </c>
    </row>
    <row r="38" customFormat="false" ht="23.85" hidden="false" customHeight="false" outlineLevel="0" collapsed="false">
      <c r="A38" s="15" t="s">
        <v>1692</v>
      </c>
      <c r="B38" s="16" t="s">
        <v>1693</v>
      </c>
      <c r="C38" s="15" t="s">
        <v>1694</v>
      </c>
      <c r="D38" s="15" t="s">
        <v>1549</v>
      </c>
      <c r="E38" s="15" t="s">
        <v>1695</v>
      </c>
      <c r="F38" s="15" t="s">
        <v>173</v>
      </c>
      <c r="G38" s="15" t="s">
        <v>1696</v>
      </c>
    </row>
    <row r="39" customFormat="false" ht="15" hidden="false" customHeight="false" outlineLevel="0" collapsed="false">
      <c r="A39" s="17" t="s">
        <v>1697</v>
      </c>
      <c r="B39" s="18" t="s">
        <v>1698</v>
      </c>
      <c r="C39" s="17" t="s">
        <v>1699</v>
      </c>
      <c r="D39" s="17" t="s">
        <v>1549</v>
      </c>
      <c r="E39" s="17" t="s">
        <v>1700</v>
      </c>
      <c r="F39" s="17" t="s">
        <v>1701</v>
      </c>
      <c r="G39" s="17" t="s">
        <v>1702</v>
      </c>
    </row>
    <row r="40" customFormat="false" ht="15" hidden="false" customHeight="false" outlineLevel="0" collapsed="false">
      <c r="A40" s="15" t="s">
        <v>1703</v>
      </c>
      <c r="B40" s="16" t="s">
        <v>1704</v>
      </c>
      <c r="C40" s="15" t="s">
        <v>1705</v>
      </c>
      <c r="D40" s="15" t="s">
        <v>1549</v>
      </c>
      <c r="E40" s="15" t="s">
        <v>1706</v>
      </c>
      <c r="F40" s="15" t="s">
        <v>1707</v>
      </c>
      <c r="G40" s="15" t="s">
        <v>1708</v>
      </c>
    </row>
    <row r="41" customFormat="false" ht="23.85" hidden="false" customHeight="false" outlineLevel="0" collapsed="false">
      <c r="A41" s="17" t="s">
        <v>1709</v>
      </c>
      <c r="B41" s="18" t="s">
        <v>1710</v>
      </c>
      <c r="C41" s="17" t="s">
        <v>1711</v>
      </c>
      <c r="D41" s="17" t="s">
        <v>1549</v>
      </c>
      <c r="E41" s="17" t="s">
        <v>1712</v>
      </c>
      <c r="F41" s="17" t="s">
        <v>1713</v>
      </c>
      <c r="G41" s="17" t="s">
        <v>1714</v>
      </c>
    </row>
    <row r="42" customFormat="false" ht="23.85" hidden="false" customHeight="false" outlineLevel="0" collapsed="false">
      <c r="A42" s="15" t="s">
        <v>1715</v>
      </c>
      <c r="B42" s="16" t="s">
        <v>1716</v>
      </c>
      <c r="C42" s="15" t="s">
        <v>1717</v>
      </c>
      <c r="D42" s="15" t="s">
        <v>1549</v>
      </c>
      <c r="E42" s="15" t="s">
        <v>1718</v>
      </c>
      <c r="F42" s="15" t="s">
        <v>1719</v>
      </c>
      <c r="G42" s="15" t="s">
        <v>1720</v>
      </c>
    </row>
    <row r="43" customFormat="false" ht="15" hidden="false" customHeight="false" outlineLevel="0" collapsed="false">
      <c r="A43" s="17" t="s">
        <v>1721</v>
      </c>
      <c r="B43" s="18" t="s">
        <v>1722</v>
      </c>
      <c r="C43" s="17" t="s">
        <v>1723</v>
      </c>
      <c r="D43" s="17" t="s">
        <v>1549</v>
      </c>
      <c r="E43" s="17" t="s">
        <v>1724</v>
      </c>
      <c r="F43" s="17" t="s">
        <v>1725</v>
      </c>
      <c r="G43" s="17" t="s">
        <v>1726</v>
      </c>
    </row>
    <row r="44" customFormat="false" ht="15" hidden="false" customHeight="false" outlineLevel="0" collapsed="false">
      <c r="A44" s="15" t="s">
        <v>1727</v>
      </c>
      <c r="B44" s="16" t="s">
        <v>1728</v>
      </c>
      <c r="C44" s="15" t="s">
        <v>1729</v>
      </c>
      <c r="D44" s="15" t="s">
        <v>1496</v>
      </c>
      <c r="E44" s="15" t="s">
        <v>1730</v>
      </c>
      <c r="F44" s="15" t="s">
        <v>1731</v>
      </c>
      <c r="G44" s="15" t="s">
        <v>1732</v>
      </c>
    </row>
    <row r="45" customFormat="false" ht="15" hidden="false" customHeight="false" outlineLevel="0" collapsed="false">
      <c r="A45" s="17" t="s">
        <v>1733</v>
      </c>
      <c r="B45" s="18" t="s">
        <v>1734</v>
      </c>
      <c r="C45" s="17" t="s">
        <v>1735</v>
      </c>
      <c r="D45" s="17" t="s">
        <v>1496</v>
      </c>
      <c r="E45" s="17" t="s">
        <v>1736</v>
      </c>
      <c r="F45" s="17" t="s">
        <v>1737</v>
      </c>
      <c r="G45" s="17" t="s">
        <v>1738</v>
      </c>
    </row>
    <row r="46" customFormat="false" ht="15" hidden="false" customHeight="false" outlineLevel="0" collapsed="false">
      <c r="A46" s="15" t="s">
        <v>1739</v>
      </c>
      <c r="B46" s="16" t="s">
        <v>1740</v>
      </c>
      <c r="C46" s="15"/>
      <c r="D46" s="15" t="s">
        <v>1496</v>
      </c>
      <c r="E46" s="15" t="s">
        <v>1741</v>
      </c>
      <c r="F46" s="15" t="s">
        <v>173</v>
      </c>
      <c r="G46" s="15" t="s">
        <v>1726</v>
      </c>
    </row>
    <row r="47" customFormat="false" ht="15" hidden="false" customHeight="false" outlineLevel="0" collapsed="false">
      <c r="A47" s="17" t="s">
        <v>1742</v>
      </c>
      <c r="B47" s="18" t="s">
        <v>1743</v>
      </c>
      <c r="C47" s="17"/>
      <c r="D47" s="17" t="s">
        <v>1496</v>
      </c>
      <c r="E47" s="17" t="s">
        <v>1744</v>
      </c>
      <c r="F47" s="17" t="s">
        <v>1745</v>
      </c>
      <c r="G47" s="17" t="s">
        <v>1746</v>
      </c>
    </row>
    <row r="48" customFormat="false" ht="15" hidden="false" customHeight="false" outlineLevel="0" collapsed="false">
      <c r="A48" s="15" t="s">
        <v>1747</v>
      </c>
      <c r="B48" s="16" t="s">
        <v>1748</v>
      </c>
      <c r="C48" s="15" t="s">
        <v>1749</v>
      </c>
      <c r="D48" s="15" t="s">
        <v>1496</v>
      </c>
      <c r="E48" s="15" t="s">
        <v>1750</v>
      </c>
      <c r="F48" s="15" t="s">
        <v>1751</v>
      </c>
      <c r="G48" s="15" t="s">
        <v>1752</v>
      </c>
    </row>
    <row r="49" customFormat="false" ht="23.85" hidden="false" customHeight="false" outlineLevel="0" collapsed="false">
      <c r="A49" s="17" t="s">
        <v>1753</v>
      </c>
      <c r="B49" s="18" t="s">
        <v>1754</v>
      </c>
      <c r="C49" s="17" t="s">
        <v>1755</v>
      </c>
      <c r="D49" s="17" t="s">
        <v>1549</v>
      </c>
      <c r="E49" s="17" t="s">
        <v>1756</v>
      </c>
      <c r="F49" s="17" t="s">
        <v>173</v>
      </c>
      <c r="G49" s="17" t="s">
        <v>1757</v>
      </c>
    </row>
    <row r="50" customFormat="false" ht="15" hidden="false" customHeight="false" outlineLevel="0" collapsed="false">
      <c r="A50" s="15" t="s">
        <v>1758</v>
      </c>
      <c r="B50" s="16" t="s">
        <v>1759</v>
      </c>
      <c r="C50" s="15"/>
      <c r="D50" s="15" t="s">
        <v>1549</v>
      </c>
      <c r="E50" s="15" t="s">
        <v>1760</v>
      </c>
      <c r="F50" s="15" t="s">
        <v>173</v>
      </c>
      <c r="G50" s="15" t="s">
        <v>1761</v>
      </c>
    </row>
    <row r="51" customFormat="false" ht="23.85" hidden="false" customHeight="false" outlineLevel="0" collapsed="false">
      <c r="A51" s="17" t="s">
        <v>1762</v>
      </c>
      <c r="B51" s="18" t="s">
        <v>1763</v>
      </c>
      <c r="C51" s="17" t="s">
        <v>1764</v>
      </c>
      <c r="D51" s="17" t="s">
        <v>1496</v>
      </c>
      <c r="E51" s="17" t="s">
        <v>1765</v>
      </c>
      <c r="F51" s="17" t="s">
        <v>1766</v>
      </c>
      <c r="G51" s="17" t="s">
        <v>1767</v>
      </c>
    </row>
    <row r="52" customFormat="false" ht="23.85" hidden="false" customHeight="false" outlineLevel="0" collapsed="false">
      <c r="A52" s="15" t="s">
        <v>1768</v>
      </c>
      <c r="B52" s="16" t="s">
        <v>1769</v>
      </c>
      <c r="C52" s="15" t="s">
        <v>1770</v>
      </c>
      <c r="D52" s="15" t="s">
        <v>1496</v>
      </c>
      <c r="E52" s="15" t="s">
        <v>1771</v>
      </c>
      <c r="F52" s="15" t="s">
        <v>1745</v>
      </c>
      <c r="G52" s="15" t="s">
        <v>714</v>
      </c>
    </row>
    <row r="53" customFormat="false" ht="15" hidden="false" customHeight="false" outlineLevel="0" collapsed="false">
      <c r="A53" s="17" t="s">
        <v>1772</v>
      </c>
      <c r="B53" s="18" t="s">
        <v>1773</v>
      </c>
      <c r="C53" s="17" t="s">
        <v>1774</v>
      </c>
      <c r="D53" s="17" t="s">
        <v>1496</v>
      </c>
      <c r="E53" s="17" t="s">
        <v>1775</v>
      </c>
      <c r="F53" s="17" t="s">
        <v>1776</v>
      </c>
      <c r="G53" s="17" t="s">
        <v>1777</v>
      </c>
    </row>
    <row r="54" customFormat="false" ht="15" hidden="false" customHeight="false" outlineLevel="0" collapsed="false">
      <c r="A54" s="15" t="s">
        <v>1778</v>
      </c>
      <c r="B54" s="16" t="s">
        <v>1779</v>
      </c>
      <c r="C54" s="15" t="s">
        <v>1780</v>
      </c>
      <c r="D54" s="15" t="s">
        <v>1496</v>
      </c>
      <c r="E54" s="15" t="s">
        <v>1781</v>
      </c>
      <c r="F54" s="15" t="s">
        <v>1782</v>
      </c>
      <c r="G54" s="15" t="s">
        <v>1783</v>
      </c>
    </row>
    <row r="55" customFormat="false" ht="15" hidden="false" customHeight="false" outlineLevel="0" collapsed="false">
      <c r="A55" s="17" t="s">
        <v>1784</v>
      </c>
      <c r="B55" s="18" t="s">
        <v>1785</v>
      </c>
      <c r="C55" s="17"/>
      <c r="D55" s="17" t="s">
        <v>1496</v>
      </c>
      <c r="E55" s="17" t="s">
        <v>1786</v>
      </c>
      <c r="F55" s="17" t="s">
        <v>1787</v>
      </c>
      <c r="G55" s="17" t="s">
        <v>1788</v>
      </c>
    </row>
    <row r="56" customFormat="false" ht="15" hidden="false" customHeight="false" outlineLevel="0" collapsed="false">
      <c r="A56" s="15" t="s">
        <v>1789</v>
      </c>
      <c r="B56" s="16" t="s">
        <v>1790</v>
      </c>
      <c r="C56" s="15" t="s">
        <v>1791</v>
      </c>
      <c r="D56" s="15" t="s">
        <v>1496</v>
      </c>
      <c r="E56" s="15" t="s">
        <v>1792</v>
      </c>
      <c r="F56" s="15" t="s">
        <v>1793</v>
      </c>
      <c r="G56" s="15" t="s">
        <v>1794</v>
      </c>
    </row>
    <row r="57" customFormat="false" ht="15" hidden="false" customHeight="false" outlineLevel="0" collapsed="false">
      <c r="A57" s="17" t="s">
        <v>1795</v>
      </c>
      <c r="B57" s="18" t="s">
        <v>1796</v>
      </c>
      <c r="C57" s="17" t="s">
        <v>1797</v>
      </c>
      <c r="D57" s="17" t="s">
        <v>1496</v>
      </c>
      <c r="E57" s="17" t="s">
        <v>1798</v>
      </c>
      <c r="F57" s="17" t="s">
        <v>1799</v>
      </c>
      <c r="G57" s="17" t="s">
        <v>1056</v>
      </c>
    </row>
    <row r="58" customFormat="false" ht="15" hidden="false" customHeight="false" outlineLevel="0" collapsed="false">
      <c r="A58" s="15" t="s">
        <v>1800</v>
      </c>
      <c r="B58" s="16" t="s">
        <v>1801</v>
      </c>
      <c r="C58" s="15" t="s">
        <v>1802</v>
      </c>
      <c r="D58" s="15" t="s">
        <v>1496</v>
      </c>
      <c r="E58" s="15" t="s">
        <v>1803</v>
      </c>
      <c r="F58" s="15" t="s">
        <v>1804</v>
      </c>
      <c r="G58" s="15" t="s">
        <v>1805</v>
      </c>
    </row>
    <row r="59" customFormat="false" ht="15" hidden="false" customHeight="false" outlineLevel="0" collapsed="false">
      <c r="A59" s="17" t="s">
        <v>1806</v>
      </c>
      <c r="B59" s="18" t="s">
        <v>1807</v>
      </c>
      <c r="C59" s="17" t="s">
        <v>1808</v>
      </c>
      <c r="D59" s="17" t="s">
        <v>1496</v>
      </c>
      <c r="E59" s="17" t="s">
        <v>1809</v>
      </c>
      <c r="F59" s="17" t="s">
        <v>1810</v>
      </c>
      <c r="G59" s="17" t="s">
        <v>1805</v>
      </c>
    </row>
    <row r="60" customFormat="false" ht="23.85" hidden="false" customHeight="false" outlineLevel="0" collapsed="false">
      <c r="A60" s="15" t="s">
        <v>1811</v>
      </c>
      <c r="B60" s="16" t="s">
        <v>1812</v>
      </c>
      <c r="C60" s="15" t="s">
        <v>1813</v>
      </c>
      <c r="D60" s="15" t="s">
        <v>1496</v>
      </c>
      <c r="E60" s="15" t="s">
        <v>1814</v>
      </c>
      <c r="F60" s="15" t="s">
        <v>1815</v>
      </c>
      <c r="G60" s="15" t="s">
        <v>1816</v>
      </c>
    </row>
    <row r="61" customFormat="false" ht="15" hidden="false" customHeight="false" outlineLevel="0" collapsed="false">
      <c r="A61" s="17" t="s">
        <v>1817</v>
      </c>
      <c r="B61" s="18" t="s">
        <v>1818</v>
      </c>
      <c r="C61" s="17"/>
      <c r="D61" s="17" t="s">
        <v>1496</v>
      </c>
      <c r="E61" s="17" t="s">
        <v>1819</v>
      </c>
      <c r="F61" s="17" t="s">
        <v>1820</v>
      </c>
      <c r="G61" s="17" t="s">
        <v>1821</v>
      </c>
    </row>
    <row r="62" customFormat="false" ht="15" hidden="false" customHeight="false" outlineLevel="0" collapsed="false">
      <c r="A62" s="15" t="s">
        <v>1822</v>
      </c>
      <c r="B62" s="16" t="s">
        <v>1823</v>
      </c>
      <c r="C62" s="15" t="s">
        <v>1824</v>
      </c>
      <c r="D62" s="15" t="s">
        <v>1496</v>
      </c>
      <c r="E62" s="15" t="s">
        <v>1825</v>
      </c>
      <c r="F62" s="15" t="s">
        <v>1826</v>
      </c>
      <c r="G62" s="15" t="s">
        <v>1827</v>
      </c>
    </row>
    <row r="63" customFormat="false" ht="15" hidden="false" customHeight="false" outlineLevel="0" collapsed="false">
      <c r="A63" s="17" t="s">
        <v>1828</v>
      </c>
      <c r="B63" s="18" t="s">
        <v>1829</v>
      </c>
      <c r="C63" s="17" t="s">
        <v>1830</v>
      </c>
      <c r="D63" s="17" t="s">
        <v>1496</v>
      </c>
      <c r="E63" s="17" t="s">
        <v>1831</v>
      </c>
      <c r="F63" s="17" t="s">
        <v>1832</v>
      </c>
      <c r="G63" s="17" t="s">
        <v>1833</v>
      </c>
    </row>
    <row r="64" customFormat="false" ht="15" hidden="false" customHeight="false" outlineLevel="0" collapsed="false">
      <c r="A64" s="15" t="s">
        <v>1834</v>
      </c>
      <c r="B64" s="16" t="s">
        <v>1835</v>
      </c>
      <c r="C64" s="15" t="s">
        <v>1836</v>
      </c>
      <c r="D64" s="15" t="s">
        <v>1496</v>
      </c>
      <c r="E64" s="15" t="s">
        <v>1837</v>
      </c>
      <c r="F64" s="15" t="s">
        <v>1838</v>
      </c>
      <c r="G64" s="15" t="s">
        <v>1839</v>
      </c>
    </row>
    <row r="65" customFormat="false" ht="15" hidden="false" customHeight="false" outlineLevel="0" collapsed="false">
      <c r="A65" s="17" t="s">
        <v>1840</v>
      </c>
      <c r="B65" s="18" t="s">
        <v>1841</v>
      </c>
      <c r="C65" s="17" t="s">
        <v>1842</v>
      </c>
      <c r="D65" s="17" t="s">
        <v>1549</v>
      </c>
      <c r="E65" s="17" t="s">
        <v>1843</v>
      </c>
      <c r="F65" s="17" t="s">
        <v>1844</v>
      </c>
      <c r="G65" s="17" t="s">
        <v>1845</v>
      </c>
    </row>
    <row r="66" customFormat="false" ht="23.85" hidden="false" customHeight="false" outlineLevel="0" collapsed="false">
      <c r="A66" s="15" t="s">
        <v>1846</v>
      </c>
      <c r="B66" s="16" t="s">
        <v>1847</v>
      </c>
      <c r="C66" s="15" t="s">
        <v>1848</v>
      </c>
      <c r="D66" s="15" t="s">
        <v>1549</v>
      </c>
      <c r="E66" s="15" t="s">
        <v>1849</v>
      </c>
      <c r="F66" s="15" t="s">
        <v>1850</v>
      </c>
      <c r="G66" s="15" t="s">
        <v>1851</v>
      </c>
    </row>
    <row r="67" customFormat="false" ht="23.85" hidden="false" customHeight="false" outlineLevel="0" collapsed="false">
      <c r="A67" s="17" t="s">
        <v>1852</v>
      </c>
      <c r="B67" s="18" t="s">
        <v>1853</v>
      </c>
      <c r="C67" s="17" t="s">
        <v>1854</v>
      </c>
      <c r="D67" s="17" t="s">
        <v>1549</v>
      </c>
      <c r="E67" s="17" t="s">
        <v>1855</v>
      </c>
      <c r="F67" s="17" t="s">
        <v>173</v>
      </c>
      <c r="G67" s="17" t="s">
        <v>1856</v>
      </c>
    </row>
    <row r="68" customFormat="false" ht="15" hidden="false" customHeight="false" outlineLevel="0" collapsed="false">
      <c r="A68" s="15" t="s">
        <v>1857</v>
      </c>
      <c r="B68" s="16" t="s">
        <v>1858</v>
      </c>
      <c r="C68" s="15" t="s">
        <v>1859</v>
      </c>
      <c r="D68" s="15" t="s">
        <v>1549</v>
      </c>
      <c r="E68" s="15" t="s">
        <v>1860</v>
      </c>
      <c r="F68" s="15" t="s">
        <v>1861</v>
      </c>
      <c r="G68" s="15" t="s">
        <v>1862</v>
      </c>
    </row>
    <row r="69" customFormat="false" ht="15" hidden="false" customHeight="false" outlineLevel="0" collapsed="false">
      <c r="A69" s="17" t="s">
        <v>1863</v>
      </c>
      <c r="B69" s="18" t="s">
        <v>1864</v>
      </c>
      <c r="C69" s="17" t="s">
        <v>1865</v>
      </c>
      <c r="D69" s="17" t="s">
        <v>1496</v>
      </c>
      <c r="E69" s="17" t="s">
        <v>1866</v>
      </c>
      <c r="F69" s="17" t="s">
        <v>1867</v>
      </c>
      <c r="G69" s="17" t="s">
        <v>1868</v>
      </c>
    </row>
    <row r="70" customFormat="false" ht="23.85" hidden="false" customHeight="false" outlineLevel="0" collapsed="false">
      <c r="A70" s="15" t="s">
        <v>1869</v>
      </c>
      <c r="B70" s="16" t="s">
        <v>1870</v>
      </c>
      <c r="C70" s="15" t="s">
        <v>1871</v>
      </c>
      <c r="D70" s="15" t="s">
        <v>1549</v>
      </c>
      <c r="E70" s="15" t="s">
        <v>1872</v>
      </c>
      <c r="F70" s="15" t="s">
        <v>1873</v>
      </c>
      <c r="G70" s="15" t="s">
        <v>1874</v>
      </c>
    </row>
    <row r="71" customFormat="false" ht="35.05" hidden="false" customHeight="false" outlineLevel="0" collapsed="false">
      <c r="A71" s="17" t="s">
        <v>1875</v>
      </c>
      <c r="B71" s="18" t="s">
        <v>1876</v>
      </c>
      <c r="C71" s="17" t="s">
        <v>1877</v>
      </c>
      <c r="D71" s="17" t="s">
        <v>1549</v>
      </c>
      <c r="E71" s="17" t="s">
        <v>1878</v>
      </c>
      <c r="F71" s="17" t="s">
        <v>173</v>
      </c>
      <c r="G71" s="17" t="s">
        <v>1879</v>
      </c>
    </row>
    <row r="72" customFormat="false" ht="15" hidden="false" customHeight="false" outlineLevel="0" collapsed="false">
      <c r="A72" s="15" t="s">
        <v>1880</v>
      </c>
      <c r="B72" s="16" t="s">
        <v>1881</v>
      </c>
      <c r="C72" s="15" t="s">
        <v>1882</v>
      </c>
      <c r="D72" s="15" t="s">
        <v>1549</v>
      </c>
      <c r="E72" s="15" t="s">
        <v>1883</v>
      </c>
      <c r="F72" s="15" t="s">
        <v>173</v>
      </c>
      <c r="G72" s="15" t="s">
        <v>1884</v>
      </c>
    </row>
    <row r="73" customFormat="false" ht="15" hidden="false" customHeight="false" outlineLevel="0" collapsed="false">
      <c r="A73" s="17" t="s">
        <v>1885</v>
      </c>
      <c r="B73" s="18" t="s">
        <v>1886</v>
      </c>
      <c r="C73" s="17"/>
      <c r="D73" s="17" t="s">
        <v>1496</v>
      </c>
      <c r="E73" s="17" t="s">
        <v>1887</v>
      </c>
      <c r="F73" s="17" t="s">
        <v>1888</v>
      </c>
      <c r="G73" s="17" t="s">
        <v>1013</v>
      </c>
    </row>
  </sheetData>
  <autoFilter ref="A1:G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4" min="3" style="0" width="22"/>
    <col collapsed="false" customWidth="true" hidden="false" outlineLevel="0" max="5" min="5" style="0" width="42"/>
    <col collapsed="false" customWidth="true" hidden="false" outlineLevel="0" max="6" min="6" style="0" width="40"/>
  </cols>
  <sheetData>
    <row r="1" customFormat="false" ht="31.5" hidden="false" customHeight="true" outlineLevel="0" collapsed="false">
      <c r="A1" s="14" t="s">
        <v>69</v>
      </c>
      <c r="B1" s="14" t="s">
        <v>1889</v>
      </c>
      <c r="C1" s="14" t="s">
        <v>1488</v>
      </c>
      <c r="D1" s="14" t="s">
        <v>1890</v>
      </c>
      <c r="E1" s="14" t="s">
        <v>1891</v>
      </c>
      <c r="F1" s="14" t="s">
        <v>1892</v>
      </c>
    </row>
    <row r="2" customFormat="false" ht="15" hidden="false" customHeight="false" outlineLevel="0" collapsed="false">
      <c r="A2" s="15" t="s">
        <v>1893</v>
      </c>
      <c r="B2" s="16" t="s">
        <v>1894</v>
      </c>
      <c r="C2" s="15" t="s">
        <v>1895</v>
      </c>
      <c r="D2" s="15" t="s">
        <v>32</v>
      </c>
      <c r="E2" s="15" t="s">
        <v>1896</v>
      </c>
      <c r="F2" s="15" t="s">
        <v>1897</v>
      </c>
    </row>
    <row r="3" customFormat="false" ht="15" hidden="false" customHeight="false" outlineLevel="0" collapsed="false">
      <c r="A3" s="17" t="s">
        <v>1898</v>
      </c>
      <c r="B3" s="18" t="s">
        <v>1899</v>
      </c>
      <c r="C3" s="17" t="s">
        <v>1900</v>
      </c>
      <c r="D3" s="17" t="s">
        <v>1901</v>
      </c>
      <c r="E3" s="17" t="s">
        <v>1902</v>
      </c>
      <c r="F3" s="17" t="s">
        <v>1903</v>
      </c>
    </row>
    <row r="4" customFormat="false" ht="15" hidden="false" customHeight="false" outlineLevel="0" collapsed="false">
      <c r="A4" s="15" t="s">
        <v>1904</v>
      </c>
      <c r="B4" s="16" t="s">
        <v>1905</v>
      </c>
      <c r="C4" s="15" t="s">
        <v>173</v>
      </c>
      <c r="D4" s="15" t="s">
        <v>32</v>
      </c>
      <c r="E4" s="15" t="s">
        <v>1906</v>
      </c>
      <c r="F4" s="15" t="s">
        <v>1907</v>
      </c>
    </row>
    <row r="5" customFormat="false" ht="15" hidden="false" customHeight="false" outlineLevel="0" collapsed="false">
      <c r="A5" s="17" t="s">
        <v>1908</v>
      </c>
      <c r="B5" s="18" t="s">
        <v>1909</v>
      </c>
      <c r="C5" s="17" t="s">
        <v>173</v>
      </c>
      <c r="D5" s="17" t="s">
        <v>1910</v>
      </c>
      <c r="E5" s="17" t="s">
        <v>1911</v>
      </c>
      <c r="F5" s="17" t="s">
        <v>1912</v>
      </c>
    </row>
    <row r="6" customFormat="false" ht="15" hidden="false" customHeight="false" outlineLevel="0" collapsed="false">
      <c r="A6" s="15" t="s">
        <v>1913</v>
      </c>
      <c r="B6" s="16" t="s">
        <v>1914</v>
      </c>
      <c r="C6" s="15" t="s">
        <v>173</v>
      </c>
      <c r="D6" s="15" t="s">
        <v>1910</v>
      </c>
      <c r="E6" s="15" t="s">
        <v>1915</v>
      </c>
      <c r="F6" s="15" t="s">
        <v>1916</v>
      </c>
    </row>
    <row r="7" customFormat="false" ht="15" hidden="false" customHeight="false" outlineLevel="0" collapsed="false">
      <c r="A7" s="17" t="s">
        <v>1917</v>
      </c>
      <c r="B7" s="18" t="s">
        <v>1918</v>
      </c>
      <c r="C7" s="17" t="s">
        <v>173</v>
      </c>
      <c r="D7" s="17" t="s">
        <v>1919</v>
      </c>
      <c r="E7" s="17" t="s">
        <v>1920</v>
      </c>
      <c r="F7" s="17" t="s">
        <v>1921</v>
      </c>
    </row>
    <row r="8" customFormat="false" ht="15" hidden="false" customHeight="false" outlineLevel="0" collapsed="false">
      <c r="A8" s="15" t="s">
        <v>1922</v>
      </c>
      <c r="B8" s="16" t="s">
        <v>1923</v>
      </c>
      <c r="C8" s="15" t="s">
        <v>173</v>
      </c>
      <c r="D8" s="15" t="s">
        <v>1924</v>
      </c>
      <c r="E8" s="15" t="s">
        <v>1925</v>
      </c>
      <c r="F8" s="15" t="s">
        <v>1926</v>
      </c>
    </row>
    <row r="9" customFormat="false" ht="15" hidden="false" customHeight="false" outlineLevel="0" collapsed="false">
      <c r="A9" s="17" t="s">
        <v>1927</v>
      </c>
      <c r="B9" s="18" t="s">
        <v>1928</v>
      </c>
      <c r="C9" s="17" t="s">
        <v>173</v>
      </c>
      <c r="D9" s="17" t="s">
        <v>32</v>
      </c>
      <c r="E9" s="17" t="s">
        <v>1929</v>
      </c>
      <c r="F9" s="17" t="s">
        <v>1930</v>
      </c>
    </row>
    <row r="10" customFormat="false" ht="15" hidden="false" customHeight="false" outlineLevel="0" collapsed="false">
      <c r="A10" s="15" t="s">
        <v>1931</v>
      </c>
      <c r="B10" s="16" t="s">
        <v>1932</v>
      </c>
      <c r="C10" s="15" t="s">
        <v>1933</v>
      </c>
      <c r="D10" s="15" t="s">
        <v>1934</v>
      </c>
      <c r="E10" s="15" t="s">
        <v>1935</v>
      </c>
      <c r="F10" s="15" t="s">
        <v>1936</v>
      </c>
    </row>
    <row r="11" customFormat="false" ht="15" hidden="false" customHeight="false" outlineLevel="0" collapsed="false">
      <c r="A11" s="17" t="s">
        <v>1937</v>
      </c>
      <c r="B11" s="18" t="s">
        <v>1938</v>
      </c>
      <c r="C11" s="17" t="s">
        <v>1939</v>
      </c>
      <c r="D11" s="17" t="s">
        <v>34</v>
      </c>
      <c r="E11" s="17" t="s">
        <v>1940</v>
      </c>
      <c r="F11" s="17" t="s">
        <v>1941</v>
      </c>
    </row>
    <row r="12" customFormat="false" ht="15" hidden="false" customHeight="false" outlineLevel="0" collapsed="false">
      <c r="A12" s="15" t="s">
        <v>1942</v>
      </c>
      <c r="B12" s="16" t="s">
        <v>1943</v>
      </c>
      <c r="C12" s="15" t="s">
        <v>1944</v>
      </c>
      <c r="D12" s="15" t="s">
        <v>34</v>
      </c>
      <c r="E12" s="15" t="s">
        <v>1945</v>
      </c>
      <c r="F12" s="15" t="s">
        <v>1946</v>
      </c>
    </row>
    <row r="13" customFormat="false" ht="15" hidden="false" customHeight="false" outlineLevel="0" collapsed="false">
      <c r="A13" s="17" t="s">
        <v>1947</v>
      </c>
      <c r="B13" s="18" t="s">
        <v>494</v>
      </c>
      <c r="C13" s="17" t="s">
        <v>1948</v>
      </c>
      <c r="D13" s="17" t="s">
        <v>34</v>
      </c>
      <c r="E13" s="17" t="s">
        <v>1949</v>
      </c>
      <c r="F13" s="17" t="s">
        <v>1950</v>
      </c>
    </row>
    <row r="14" customFormat="false" ht="15" hidden="false" customHeight="false" outlineLevel="0" collapsed="false">
      <c r="A14" s="15" t="s">
        <v>1951</v>
      </c>
      <c r="B14" s="16" t="s">
        <v>1952</v>
      </c>
      <c r="C14" s="15" t="s">
        <v>173</v>
      </c>
      <c r="D14" s="15" t="s">
        <v>34</v>
      </c>
      <c r="E14" s="15" t="s">
        <v>1953</v>
      </c>
      <c r="F14" s="15" t="s">
        <v>1954</v>
      </c>
    </row>
    <row r="15" customFormat="false" ht="15" hidden="false" customHeight="false" outlineLevel="0" collapsed="false">
      <c r="A15" s="17" t="s">
        <v>1955</v>
      </c>
      <c r="B15" s="18" t="s">
        <v>1956</v>
      </c>
      <c r="C15" s="17" t="s">
        <v>173</v>
      </c>
      <c r="D15" s="17" t="s">
        <v>34</v>
      </c>
      <c r="E15" s="17" t="s">
        <v>1957</v>
      </c>
      <c r="F15" s="17" t="s">
        <v>1958</v>
      </c>
    </row>
    <row r="16" customFormat="false" ht="15" hidden="false" customHeight="false" outlineLevel="0" collapsed="false">
      <c r="A16" s="15" t="s">
        <v>1959</v>
      </c>
      <c r="B16" s="16" t="s">
        <v>1960</v>
      </c>
      <c r="C16" s="15" t="s">
        <v>173</v>
      </c>
      <c r="D16" s="15" t="s">
        <v>34</v>
      </c>
      <c r="E16" s="15" t="s">
        <v>1961</v>
      </c>
      <c r="F16" s="15" t="s">
        <v>457</v>
      </c>
    </row>
    <row r="17" customFormat="false" ht="15" hidden="false" customHeight="false" outlineLevel="0" collapsed="false">
      <c r="A17" s="17" t="s">
        <v>1962</v>
      </c>
      <c r="B17" s="18" t="s">
        <v>1963</v>
      </c>
      <c r="C17" s="17" t="s">
        <v>173</v>
      </c>
      <c r="D17" s="17" t="s">
        <v>34</v>
      </c>
      <c r="E17" s="17" t="s">
        <v>1964</v>
      </c>
      <c r="F17" s="17" t="s">
        <v>464</v>
      </c>
    </row>
    <row r="18" customFormat="false" ht="15" hidden="false" customHeight="false" outlineLevel="0" collapsed="false">
      <c r="A18" s="15" t="s">
        <v>1965</v>
      </c>
      <c r="B18" s="16" t="s">
        <v>1966</v>
      </c>
      <c r="C18" s="15" t="s">
        <v>173</v>
      </c>
      <c r="D18" s="15" t="s">
        <v>1967</v>
      </c>
      <c r="E18" s="15" t="s">
        <v>1968</v>
      </c>
      <c r="F18" s="15" t="s">
        <v>1969</v>
      </c>
    </row>
    <row r="19" customFormat="false" ht="15" hidden="false" customHeight="false" outlineLevel="0" collapsed="false">
      <c r="A19" s="17" t="s">
        <v>1970</v>
      </c>
      <c r="B19" s="18" t="s">
        <v>1159</v>
      </c>
      <c r="C19" s="17" t="s">
        <v>173</v>
      </c>
      <c r="D19" s="17" t="s">
        <v>1967</v>
      </c>
      <c r="E19" s="17" t="s">
        <v>1971</v>
      </c>
      <c r="F19" s="17" t="s">
        <v>1972</v>
      </c>
    </row>
    <row r="20" customFormat="false" ht="15" hidden="false" customHeight="false" outlineLevel="0" collapsed="false">
      <c r="A20" s="15" t="s">
        <v>1973</v>
      </c>
      <c r="B20" s="16" t="s">
        <v>1974</v>
      </c>
      <c r="C20" s="15" t="s">
        <v>173</v>
      </c>
      <c r="D20" s="15" t="s">
        <v>34</v>
      </c>
      <c r="E20" s="15" t="s">
        <v>1975</v>
      </c>
      <c r="F20" s="15" t="s">
        <v>1976</v>
      </c>
    </row>
    <row r="21" customFormat="false" ht="15" hidden="false" customHeight="false" outlineLevel="0" collapsed="false">
      <c r="A21" s="17" t="s">
        <v>1977</v>
      </c>
      <c r="B21" s="18" t="s">
        <v>1978</v>
      </c>
      <c r="C21" s="17" t="s">
        <v>1979</v>
      </c>
      <c r="D21" s="17" t="s">
        <v>34</v>
      </c>
      <c r="E21" s="17" t="s">
        <v>1980</v>
      </c>
      <c r="F21" s="17" t="s">
        <v>1981</v>
      </c>
    </row>
    <row r="22" customFormat="false" ht="15" hidden="false" customHeight="false" outlineLevel="0" collapsed="false">
      <c r="A22" s="15" t="s">
        <v>1982</v>
      </c>
      <c r="B22" s="16" t="s">
        <v>1983</v>
      </c>
      <c r="C22" s="15" t="s">
        <v>1984</v>
      </c>
      <c r="D22" s="15" t="s">
        <v>1985</v>
      </c>
      <c r="E22" s="15" t="s">
        <v>1986</v>
      </c>
      <c r="F22" s="15" t="s">
        <v>1987</v>
      </c>
    </row>
    <row r="23" customFormat="false" ht="23.85" hidden="false" customHeight="false" outlineLevel="0" collapsed="false">
      <c r="A23" s="17" t="s">
        <v>1988</v>
      </c>
      <c r="B23" s="18" t="s">
        <v>1989</v>
      </c>
      <c r="C23" s="17" t="s">
        <v>1990</v>
      </c>
      <c r="D23" s="17" t="s">
        <v>1967</v>
      </c>
      <c r="E23" s="17" t="s">
        <v>1991</v>
      </c>
      <c r="F23" s="17" t="s">
        <v>1992</v>
      </c>
    </row>
    <row r="24" customFormat="false" ht="15" hidden="false" customHeight="false" outlineLevel="0" collapsed="false">
      <c r="A24" s="15" t="s">
        <v>1993</v>
      </c>
      <c r="B24" s="16" t="s">
        <v>1994</v>
      </c>
      <c r="C24" s="15" t="s">
        <v>1995</v>
      </c>
      <c r="D24" s="15" t="s">
        <v>1967</v>
      </c>
      <c r="E24" s="15" t="s">
        <v>1996</v>
      </c>
      <c r="F24" s="15" t="s">
        <v>1997</v>
      </c>
    </row>
    <row r="25" customFormat="false" ht="15" hidden="false" customHeight="false" outlineLevel="0" collapsed="false">
      <c r="A25" s="17" t="s">
        <v>1998</v>
      </c>
      <c r="B25" s="18" t="s">
        <v>1999</v>
      </c>
      <c r="C25" s="17" t="s">
        <v>2000</v>
      </c>
      <c r="D25" s="17" t="s">
        <v>2001</v>
      </c>
      <c r="E25" s="17" t="s">
        <v>2002</v>
      </c>
      <c r="F25" s="17" t="s">
        <v>2003</v>
      </c>
    </row>
    <row r="26" customFormat="false" ht="15" hidden="false" customHeight="false" outlineLevel="0" collapsed="false">
      <c r="A26" s="15" t="s">
        <v>2004</v>
      </c>
      <c r="B26" s="16" t="s">
        <v>2005</v>
      </c>
      <c r="C26" s="15" t="s">
        <v>2006</v>
      </c>
      <c r="D26" s="15" t="s">
        <v>2007</v>
      </c>
      <c r="E26" s="15" t="s">
        <v>2008</v>
      </c>
      <c r="F26" s="15" t="s">
        <v>2009</v>
      </c>
    </row>
    <row r="27" customFormat="false" ht="15" hidden="false" customHeight="false" outlineLevel="0" collapsed="false">
      <c r="A27" s="17" t="s">
        <v>2010</v>
      </c>
      <c r="B27" s="18" t="s">
        <v>2011</v>
      </c>
      <c r="C27" s="17" t="s">
        <v>2012</v>
      </c>
      <c r="D27" s="17" t="s">
        <v>2013</v>
      </c>
      <c r="E27" s="17" t="s">
        <v>2014</v>
      </c>
      <c r="F27" s="17" t="s">
        <v>2015</v>
      </c>
    </row>
    <row r="28" customFormat="false" ht="15" hidden="false" customHeight="false" outlineLevel="0" collapsed="false">
      <c r="A28" s="15" t="s">
        <v>2016</v>
      </c>
      <c r="B28" s="16" t="s">
        <v>2017</v>
      </c>
      <c r="C28" s="15" t="s">
        <v>173</v>
      </c>
      <c r="D28" s="15" t="s">
        <v>2013</v>
      </c>
      <c r="E28" s="15" t="s">
        <v>2018</v>
      </c>
      <c r="F28" s="15" t="s">
        <v>2019</v>
      </c>
    </row>
    <row r="29" customFormat="false" ht="15" hidden="false" customHeight="false" outlineLevel="0" collapsed="false">
      <c r="A29" s="17" t="s">
        <v>2020</v>
      </c>
      <c r="B29" s="18" t="s">
        <v>2021</v>
      </c>
      <c r="C29" s="17" t="s">
        <v>173</v>
      </c>
      <c r="D29" s="17" t="s">
        <v>2022</v>
      </c>
      <c r="E29" s="17" t="s">
        <v>2023</v>
      </c>
      <c r="F29" s="17" t="s">
        <v>2024</v>
      </c>
    </row>
    <row r="30" customFormat="false" ht="15" hidden="false" customHeight="false" outlineLevel="0" collapsed="false">
      <c r="A30" s="15" t="s">
        <v>2025</v>
      </c>
      <c r="B30" s="16" t="s">
        <v>2026</v>
      </c>
      <c r="C30" s="15" t="s">
        <v>2027</v>
      </c>
      <c r="D30" s="15" t="s">
        <v>2022</v>
      </c>
      <c r="E30" s="15" t="s">
        <v>2028</v>
      </c>
      <c r="F30" s="15" t="s">
        <v>2029</v>
      </c>
    </row>
    <row r="31" customFormat="false" ht="15" hidden="false" customHeight="false" outlineLevel="0" collapsed="false">
      <c r="A31" s="17" t="s">
        <v>2030</v>
      </c>
      <c r="B31" s="18" t="s">
        <v>2031</v>
      </c>
      <c r="C31" s="17" t="s">
        <v>173</v>
      </c>
      <c r="D31" s="17" t="s">
        <v>2022</v>
      </c>
      <c r="E31" s="17" t="s">
        <v>2032</v>
      </c>
      <c r="F31" s="17" t="s">
        <v>2033</v>
      </c>
    </row>
    <row r="32" customFormat="false" ht="23.85" hidden="false" customHeight="false" outlineLevel="0" collapsed="false">
      <c r="A32" s="15" t="s">
        <v>2034</v>
      </c>
      <c r="B32" s="16" t="s">
        <v>2035</v>
      </c>
      <c r="C32" s="15" t="s">
        <v>2036</v>
      </c>
      <c r="D32" s="15" t="s">
        <v>2037</v>
      </c>
      <c r="E32" s="15" t="s">
        <v>2038</v>
      </c>
      <c r="F32" s="15" t="s">
        <v>2039</v>
      </c>
    </row>
    <row r="33" customFormat="false" ht="15" hidden="false" customHeight="false" outlineLevel="0" collapsed="false">
      <c r="A33" s="17" t="s">
        <v>2040</v>
      </c>
      <c r="B33" s="18" t="s">
        <v>2041</v>
      </c>
      <c r="C33" s="17" t="s">
        <v>173</v>
      </c>
      <c r="D33" s="17" t="s">
        <v>2042</v>
      </c>
      <c r="E33" s="17" t="s">
        <v>2043</v>
      </c>
      <c r="F33" s="17" t="s">
        <v>2044</v>
      </c>
    </row>
    <row r="34" customFormat="false" ht="15" hidden="false" customHeight="false" outlineLevel="0" collapsed="false">
      <c r="A34" s="15" t="s">
        <v>2045</v>
      </c>
      <c r="B34" s="16" t="s">
        <v>2046</v>
      </c>
      <c r="C34" s="15" t="s">
        <v>2047</v>
      </c>
      <c r="D34" s="15" t="s">
        <v>2048</v>
      </c>
      <c r="E34" s="15" t="s">
        <v>2049</v>
      </c>
      <c r="F34" s="15" t="s">
        <v>2050</v>
      </c>
    </row>
    <row r="35" customFormat="false" ht="15" hidden="false" customHeight="false" outlineLevel="0" collapsed="false">
      <c r="A35" s="17" t="s">
        <v>2051</v>
      </c>
      <c r="B35" s="18" t="s">
        <v>2052</v>
      </c>
      <c r="C35" s="17" t="s">
        <v>2053</v>
      </c>
      <c r="D35" s="17" t="s">
        <v>2037</v>
      </c>
      <c r="E35" s="17" t="s">
        <v>2054</v>
      </c>
      <c r="F35" s="17" t="s">
        <v>168</v>
      </c>
    </row>
    <row r="36" customFormat="false" ht="15" hidden="false" customHeight="false" outlineLevel="0" collapsed="false">
      <c r="A36" s="15" t="s">
        <v>2055</v>
      </c>
      <c r="B36" s="16" t="s">
        <v>2056</v>
      </c>
      <c r="C36" s="15" t="s">
        <v>2057</v>
      </c>
      <c r="D36" s="15" t="s">
        <v>2058</v>
      </c>
      <c r="E36" s="15" t="s">
        <v>2059</v>
      </c>
      <c r="F36" s="15" t="s">
        <v>31</v>
      </c>
    </row>
    <row r="37" customFormat="false" ht="15" hidden="false" customHeight="false" outlineLevel="0" collapsed="false">
      <c r="A37" s="17" t="s">
        <v>2060</v>
      </c>
      <c r="B37" s="18" t="s">
        <v>2061</v>
      </c>
      <c r="C37" s="17" t="s">
        <v>173</v>
      </c>
      <c r="D37" s="17" t="s">
        <v>2058</v>
      </c>
      <c r="E37" s="17" t="s">
        <v>2062</v>
      </c>
      <c r="F37" s="17" t="s">
        <v>2063</v>
      </c>
    </row>
    <row r="38" customFormat="false" ht="15" hidden="false" customHeight="false" outlineLevel="0" collapsed="false">
      <c r="A38" s="15" t="s">
        <v>2064</v>
      </c>
      <c r="B38" s="16" t="s">
        <v>2065</v>
      </c>
      <c r="C38" s="15" t="s">
        <v>173</v>
      </c>
      <c r="D38" s="15" t="s">
        <v>2058</v>
      </c>
      <c r="E38" s="15" t="s">
        <v>2066</v>
      </c>
      <c r="F38" s="15" t="s">
        <v>970</v>
      </c>
    </row>
    <row r="39" customFormat="false" ht="15" hidden="false" customHeight="false" outlineLevel="0" collapsed="false">
      <c r="A39" s="17" t="s">
        <v>2067</v>
      </c>
      <c r="B39" s="18" t="s">
        <v>2068</v>
      </c>
      <c r="C39" s="17" t="s">
        <v>173</v>
      </c>
      <c r="D39" s="17" t="s">
        <v>2058</v>
      </c>
      <c r="E39" s="17" t="s">
        <v>2069</v>
      </c>
      <c r="F39" s="17" t="s">
        <v>2070</v>
      </c>
    </row>
    <row r="40" customFormat="false" ht="15" hidden="false" customHeight="false" outlineLevel="0" collapsed="false">
      <c r="A40" s="15" t="s">
        <v>2071</v>
      </c>
      <c r="B40" s="16" t="s">
        <v>2072</v>
      </c>
      <c r="C40" s="15" t="s">
        <v>2073</v>
      </c>
      <c r="D40" s="15" t="s">
        <v>39</v>
      </c>
      <c r="E40" s="15" t="s">
        <v>2074</v>
      </c>
      <c r="F40" s="15" t="s">
        <v>2075</v>
      </c>
    </row>
    <row r="41" customFormat="false" ht="15" hidden="false" customHeight="false" outlineLevel="0" collapsed="false">
      <c r="A41" s="17" t="s">
        <v>2076</v>
      </c>
      <c r="B41" s="18" t="s">
        <v>2077</v>
      </c>
      <c r="C41" s="17" t="s">
        <v>173</v>
      </c>
      <c r="D41" s="17" t="s">
        <v>39</v>
      </c>
      <c r="E41" s="17" t="s">
        <v>2078</v>
      </c>
      <c r="F41" s="17" t="s">
        <v>2079</v>
      </c>
    </row>
    <row r="42" customFormat="false" ht="15" hidden="false" customHeight="false" outlineLevel="0" collapsed="false">
      <c r="A42" s="15" t="s">
        <v>2080</v>
      </c>
      <c r="B42" s="16" t="s">
        <v>2081</v>
      </c>
      <c r="C42" s="15" t="s">
        <v>173</v>
      </c>
      <c r="D42" s="15" t="s">
        <v>39</v>
      </c>
      <c r="E42" s="15" t="s">
        <v>2082</v>
      </c>
      <c r="F42" s="15" t="s">
        <v>2083</v>
      </c>
    </row>
    <row r="43" customFormat="false" ht="15" hidden="false" customHeight="false" outlineLevel="0" collapsed="false">
      <c r="A43" s="17" t="s">
        <v>2084</v>
      </c>
      <c r="B43" s="18" t="s">
        <v>2085</v>
      </c>
      <c r="C43" s="17" t="s">
        <v>2086</v>
      </c>
      <c r="D43" s="17" t="s">
        <v>39</v>
      </c>
      <c r="E43" s="17" t="s">
        <v>2087</v>
      </c>
      <c r="F43" s="17" t="s">
        <v>2088</v>
      </c>
    </row>
    <row r="44" customFormat="false" ht="15" hidden="false" customHeight="false" outlineLevel="0" collapsed="false">
      <c r="A44" s="15" t="s">
        <v>2089</v>
      </c>
      <c r="B44" s="16" t="s">
        <v>2090</v>
      </c>
      <c r="C44" s="15" t="s">
        <v>2091</v>
      </c>
      <c r="D44" s="15" t="s">
        <v>39</v>
      </c>
      <c r="E44" s="15" t="s">
        <v>2092</v>
      </c>
      <c r="F44" s="15" t="s">
        <v>2093</v>
      </c>
    </row>
    <row r="45" customFormat="false" ht="15" hidden="false" customHeight="false" outlineLevel="0" collapsed="false">
      <c r="A45" s="17" t="s">
        <v>2094</v>
      </c>
      <c r="B45" s="18" t="s">
        <v>2095</v>
      </c>
      <c r="C45" s="17" t="s">
        <v>2096</v>
      </c>
      <c r="D45" s="17" t="s">
        <v>39</v>
      </c>
      <c r="E45" s="17" t="s">
        <v>2097</v>
      </c>
      <c r="F45" s="17" t="s">
        <v>2098</v>
      </c>
    </row>
    <row r="46" customFormat="false" ht="23.85" hidden="false" customHeight="false" outlineLevel="0" collapsed="false">
      <c r="A46" s="15" t="s">
        <v>2099</v>
      </c>
      <c r="B46" s="16" t="s">
        <v>2100</v>
      </c>
      <c r="C46" s="15" t="s">
        <v>2101</v>
      </c>
      <c r="D46" s="15" t="s">
        <v>39</v>
      </c>
      <c r="E46" s="15" t="s">
        <v>2102</v>
      </c>
      <c r="F46" s="15" t="s">
        <v>2103</v>
      </c>
    </row>
    <row r="47" customFormat="false" ht="15" hidden="false" customHeight="false" outlineLevel="0" collapsed="false">
      <c r="A47" s="17" t="s">
        <v>2104</v>
      </c>
      <c r="B47" s="18" t="s">
        <v>2105</v>
      </c>
      <c r="C47" s="17" t="s">
        <v>2106</v>
      </c>
      <c r="D47" s="17" t="s">
        <v>39</v>
      </c>
      <c r="E47" s="17" t="s">
        <v>2107</v>
      </c>
      <c r="F47" s="17" t="s">
        <v>810</v>
      </c>
    </row>
    <row r="48" customFormat="false" ht="15" hidden="false" customHeight="false" outlineLevel="0" collapsed="false">
      <c r="A48" s="15" t="s">
        <v>2108</v>
      </c>
      <c r="B48" s="16" t="s">
        <v>2109</v>
      </c>
      <c r="C48" s="15" t="s">
        <v>173</v>
      </c>
      <c r="D48" s="15" t="s">
        <v>2110</v>
      </c>
      <c r="E48" s="15" t="s">
        <v>2111</v>
      </c>
      <c r="F48" s="15" t="s">
        <v>2112</v>
      </c>
    </row>
    <row r="49" customFormat="false" ht="15" hidden="false" customHeight="false" outlineLevel="0" collapsed="false">
      <c r="A49" s="17" t="s">
        <v>2113</v>
      </c>
      <c r="B49" s="18" t="s">
        <v>2114</v>
      </c>
      <c r="C49" s="17" t="s">
        <v>173</v>
      </c>
      <c r="D49" s="17" t="s">
        <v>2110</v>
      </c>
      <c r="E49" s="17" t="s">
        <v>2115</v>
      </c>
      <c r="F49" s="17" t="s">
        <v>2116</v>
      </c>
    </row>
    <row r="50" customFormat="false" ht="15" hidden="false" customHeight="false" outlineLevel="0" collapsed="false">
      <c r="A50" s="15" t="s">
        <v>2117</v>
      </c>
      <c r="B50" s="16" t="s">
        <v>2118</v>
      </c>
      <c r="C50" s="15" t="s">
        <v>2119</v>
      </c>
      <c r="D50" s="15" t="s">
        <v>2110</v>
      </c>
      <c r="E50" s="15" t="s">
        <v>2120</v>
      </c>
      <c r="F50" s="15" t="s">
        <v>2121</v>
      </c>
    </row>
    <row r="51" customFormat="false" ht="15" hidden="false" customHeight="false" outlineLevel="0" collapsed="false">
      <c r="A51" s="17" t="s">
        <v>2122</v>
      </c>
      <c r="B51" s="18" t="s">
        <v>2123</v>
      </c>
      <c r="C51" s="17" t="s">
        <v>2124</v>
      </c>
      <c r="D51" s="17" t="s">
        <v>39</v>
      </c>
      <c r="E51" s="17" t="s">
        <v>2125</v>
      </c>
      <c r="F51" s="17" t="s">
        <v>2126</v>
      </c>
    </row>
    <row r="52" customFormat="false" ht="15" hidden="false" customHeight="false" outlineLevel="0" collapsed="false">
      <c r="A52" s="15" t="s">
        <v>2127</v>
      </c>
      <c r="B52" s="16" t="s">
        <v>2128</v>
      </c>
      <c r="C52" s="15" t="s">
        <v>173</v>
      </c>
      <c r="D52" s="15" t="s">
        <v>40</v>
      </c>
      <c r="E52" s="15" t="s">
        <v>2129</v>
      </c>
      <c r="F52" s="15" t="s">
        <v>2130</v>
      </c>
    </row>
    <row r="53" customFormat="false" ht="15" hidden="false" customHeight="false" outlineLevel="0" collapsed="false">
      <c r="A53" s="17" t="s">
        <v>2131</v>
      </c>
      <c r="B53" s="18" t="s">
        <v>2132</v>
      </c>
      <c r="C53" s="17" t="s">
        <v>173</v>
      </c>
      <c r="D53" s="17" t="s">
        <v>39</v>
      </c>
      <c r="E53" s="17" t="s">
        <v>2133</v>
      </c>
      <c r="F53" s="17" t="s">
        <v>898</v>
      </c>
    </row>
    <row r="54" customFormat="false" ht="15" hidden="false" customHeight="false" outlineLevel="0" collapsed="false">
      <c r="A54" s="15" t="s">
        <v>2134</v>
      </c>
      <c r="B54" s="16" t="s">
        <v>2135</v>
      </c>
      <c r="C54" s="15" t="s">
        <v>173</v>
      </c>
      <c r="D54" s="15" t="s">
        <v>40</v>
      </c>
      <c r="E54" s="15" t="s">
        <v>2136</v>
      </c>
      <c r="F54" s="15" t="s">
        <v>2137</v>
      </c>
    </row>
    <row r="55" customFormat="false" ht="15" hidden="false" customHeight="false" outlineLevel="0" collapsed="false">
      <c r="A55" s="17" t="s">
        <v>2138</v>
      </c>
      <c r="B55" s="18" t="s">
        <v>2139</v>
      </c>
      <c r="C55" s="17" t="s">
        <v>173</v>
      </c>
      <c r="D55" s="17" t="s">
        <v>35</v>
      </c>
      <c r="E55" s="17" t="s">
        <v>2140</v>
      </c>
      <c r="F55" s="17" t="s">
        <v>2141</v>
      </c>
    </row>
    <row r="56" customFormat="false" ht="15" hidden="false" customHeight="false" outlineLevel="0" collapsed="false">
      <c r="A56" s="15" t="s">
        <v>2142</v>
      </c>
      <c r="B56" s="16" t="s">
        <v>2143</v>
      </c>
      <c r="C56" s="15" t="s">
        <v>173</v>
      </c>
      <c r="D56" s="15" t="s">
        <v>35</v>
      </c>
      <c r="E56" s="15" t="s">
        <v>2144</v>
      </c>
      <c r="F56" s="15" t="s">
        <v>2145</v>
      </c>
    </row>
    <row r="57" customFormat="false" ht="15" hidden="false" customHeight="false" outlineLevel="0" collapsed="false">
      <c r="A57" s="17" t="s">
        <v>2146</v>
      </c>
      <c r="B57" s="18" t="s">
        <v>2147</v>
      </c>
      <c r="C57" s="17" t="s">
        <v>173</v>
      </c>
      <c r="D57" s="17" t="s">
        <v>35</v>
      </c>
      <c r="E57" s="17" t="s">
        <v>2148</v>
      </c>
      <c r="F57" s="17" t="s">
        <v>1137</v>
      </c>
    </row>
    <row r="58" customFormat="false" ht="15" hidden="false" customHeight="false" outlineLevel="0" collapsed="false">
      <c r="A58" s="15" t="s">
        <v>2149</v>
      </c>
      <c r="B58" s="16" t="s">
        <v>1144</v>
      </c>
      <c r="C58" s="15" t="s">
        <v>173</v>
      </c>
      <c r="D58" s="15" t="s">
        <v>44</v>
      </c>
      <c r="E58" s="15" t="s">
        <v>2150</v>
      </c>
      <c r="F58" s="15" t="s">
        <v>2151</v>
      </c>
    </row>
    <row r="59" customFormat="false" ht="15" hidden="false" customHeight="false" outlineLevel="0" collapsed="false">
      <c r="A59" s="17" t="s">
        <v>2152</v>
      </c>
      <c r="B59" s="18" t="s">
        <v>2153</v>
      </c>
      <c r="C59" s="17" t="s">
        <v>173</v>
      </c>
      <c r="D59" s="17" t="s">
        <v>44</v>
      </c>
      <c r="E59" s="17" t="s">
        <v>2154</v>
      </c>
      <c r="F59" s="17" t="s">
        <v>2155</v>
      </c>
    </row>
    <row r="60" customFormat="false" ht="15" hidden="false" customHeight="false" outlineLevel="0" collapsed="false">
      <c r="A60" s="15" t="s">
        <v>2156</v>
      </c>
      <c r="B60" s="16" t="s">
        <v>2157</v>
      </c>
      <c r="C60" s="15" t="s">
        <v>173</v>
      </c>
      <c r="D60" s="15" t="s">
        <v>2158</v>
      </c>
      <c r="E60" s="15" t="s">
        <v>2159</v>
      </c>
      <c r="F60" s="15" t="s">
        <v>2160</v>
      </c>
    </row>
  </sheetData>
  <autoFilter ref="A1:F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46"/>
    <col collapsed="false" customWidth="true" hidden="false" outlineLevel="0" max="8" min="7" style="0" width="40"/>
    <col collapsed="false" customWidth="true" hidden="false" outlineLevel="0" max="9" min="9" style="0" width="28"/>
  </cols>
  <sheetData>
    <row r="1" customFormat="false" ht="31.5" hidden="false" customHeight="true" outlineLevel="0" collapsed="false">
      <c r="A1" s="14" t="s">
        <v>69</v>
      </c>
      <c r="B1" s="14" t="s">
        <v>2161</v>
      </c>
      <c r="C1" s="14" t="s">
        <v>2162</v>
      </c>
      <c r="D1" s="14" t="s">
        <v>2163</v>
      </c>
      <c r="E1" s="14" t="s">
        <v>2164</v>
      </c>
      <c r="F1" s="14" t="s">
        <v>2165</v>
      </c>
      <c r="G1" s="14" t="s">
        <v>2166</v>
      </c>
      <c r="H1" s="14" t="s">
        <v>2167</v>
      </c>
      <c r="I1" s="14" t="s">
        <v>2168</v>
      </c>
    </row>
    <row r="2" customFormat="false" ht="23.85" hidden="false" customHeight="false" outlineLevel="0" collapsed="false">
      <c r="A2" s="15" t="s">
        <v>2169</v>
      </c>
      <c r="B2" s="16" t="s">
        <v>2170</v>
      </c>
      <c r="C2" s="15" t="s">
        <v>2171</v>
      </c>
      <c r="D2" s="15" t="s">
        <v>2172</v>
      </c>
      <c r="E2" s="15" t="s">
        <v>2173</v>
      </c>
      <c r="F2" s="15" t="s">
        <v>2174</v>
      </c>
      <c r="G2" s="15" t="s">
        <v>2175</v>
      </c>
      <c r="H2" s="15" t="s">
        <v>2176</v>
      </c>
      <c r="I2" s="15" t="s">
        <v>2177</v>
      </c>
    </row>
    <row r="3" customFormat="false" ht="15" hidden="false" customHeight="false" outlineLevel="0" collapsed="false">
      <c r="A3" s="17" t="s">
        <v>2178</v>
      </c>
      <c r="B3" s="18" t="s">
        <v>2179</v>
      </c>
      <c r="C3" s="17" t="s">
        <v>2171</v>
      </c>
      <c r="D3" s="17" t="s">
        <v>2172</v>
      </c>
      <c r="E3" s="17" t="s">
        <v>2180</v>
      </c>
      <c r="F3" s="17" t="s">
        <v>2181</v>
      </c>
      <c r="G3" s="17" t="s">
        <v>2182</v>
      </c>
      <c r="H3" s="17" t="s">
        <v>2183</v>
      </c>
      <c r="I3" s="17" t="s">
        <v>2184</v>
      </c>
    </row>
    <row r="4" customFormat="false" ht="15" hidden="false" customHeight="false" outlineLevel="0" collapsed="false">
      <c r="A4" s="15" t="s">
        <v>2185</v>
      </c>
      <c r="B4" s="16" t="s">
        <v>2186</v>
      </c>
      <c r="C4" s="15" t="s">
        <v>2171</v>
      </c>
      <c r="D4" s="15" t="s">
        <v>2187</v>
      </c>
      <c r="E4" s="15" t="s">
        <v>2188</v>
      </c>
      <c r="F4" s="15" t="s">
        <v>2189</v>
      </c>
      <c r="G4" s="15" t="s">
        <v>2190</v>
      </c>
      <c r="H4" s="15" t="s">
        <v>2183</v>
      </c>
      <c r="I4" s="15" t="s">
        <v>2191</v>
      </c>
    </row>
    <row r="5" customFormat="false" ht="15" hidden="false" customHeight="false" outlineLevel="0" collapsed="false">
      <c r="A5" s="17" t="s">
        <v>2192</v>
      </c>
      <c r="B5" s="18" t="s">
        <v>2193</v>
      </c>
      <c r="C5" s="17" t="s">
        <v>2171</v>
      </c>
      <c r="D5" s="17" t="s">
        <v>2187</v>
      </c>
      <c r="E5" s="17" t="s">
        <v>2188</v>
      </c>
      <c r="F5" s="17" t="s">
        <v>2194</v>
      </c>
      <c r="G5" s="17" t="s">
        <v>2195</v>
      </c>
      <c r="H5" s="17" t="s">
        <v>2196</v>
      </c>
      <c r="I5" s="17" t="s">
        <v>2197</v>
      </c>
    </row>
    <row r="6" customFormat="false" ht="15" hidden="false" customHeight="false" outlineLevel="0" collapsed="false">
      <c r="A6" s="15" t="s">
        <v>2198</v>
      </c>
      <c r="B6" s="16" t="s">
        <v>2199</v>
      </c>
      <c r="C6" s="15" t="s">
        <v>2200</v>
      </c>
      <c r="D6" s="15" t="s">
        <v>2187</v>
      </c>
      <c r="E6" s="15" t="s">
        <v>2188</v>
      </c>
      <c r="F6" s="15" t="s">
        <v>2181</v>
      </c>
      <c r="G6" s="15" t="s">
        <v>1394</v>
      </c>
      <c r="H6" s="15" t="s">
        <v>2201</v>
      </c>
      <c r="I6" s="15" t="s">
        <v>2202</v>
      </c>
    </row>
    <row r="7" customFormat="false" ht="15" hidden="false" customHeight="false" outlineLevel="0" collapsed="false">
      <c r="A7" s="17" t="s">
        <v>2203</v>
      </c>
      <c r="B7" s="18" t="s">
        <v>2204</v>
      </c>
      <c r="C7" s="17" t="s">
        <v>2200</v>
      </c>
      <c r="D7" s="17" t="s">
        <v>2172</v>
      </c>
      <c r="E7" s="17" t="s">
        <v>2188</v>
      </c>
      <c r="F7" s="17" t="s">
        <v>2205</v>
      </c>
      <c r="G7" s="17" t="s">
        <v>340</v>
      </c>
      <c r="H7" s="17" t="s">
        <v>2206</v>
      </c>
      <c r="I7" s="17" t="s">
        <v>2207</v>
      </c>
    </row>
    <row r="8" customFormat="false" ht="23.85" hidden="false" customHeight="false" outlineLevel="0" collapsed="false">
      <c r="A8" s="15" t="s">
        <v>2208</v>
      </c>
      <c r="B8" s="16" t="s">
        <v>2209</v>
      </c>
      <c r="C8" s="15" t="s">
        <v>48</v>
      </c>
      <c r="D8" s="15" t="s">
        <v>2210</v>
      </c>
      <c r="E8" s="15" t="s">
        <v>2211</v>
      </c>
      <c r="F8" s="15" t="s">
        <v>2194</v>
      </c>
      <c r="G8" s="15" t="s">
        <v>2212</v>
      </c>
      <c r="H8" s="15" t="s">
        <v>2213</v>
      </c>
      <c r="I8" s="15" t="s">
        <v>2214</v>
      </c>
    </row>
    <row r="9" customFormat="false" ht="15" hidden="false" customHeight="false" outlineLevel="0" collapsed="false">
      <c r="A9" s="17" t="s">
        <v>2215</v>
      </c>
      <c r="B9" s="18" t="s">
        <v>2216</v>
      </c>
      <c r="C9" s="17" t="s">
        <v>2217</v>
      </c>
      <c r="D9" s="17" t="s">
        <v>2172</v>
      </c>
      <c r="E9" s="17" t="s">
        <v>2218</v>
      </c>
      <c r="F9" s="17" t="s">
        <v>2219</v>
      </c>
      <c r="G9" s="17" t="s">
        <v>2220</v>
      </c>
      <c r="H9" s="17" t="s">
        <v>2221</v>
      </c>
      <c r="I9" s="17" t="s">
        <v>2222</v>
      </c>
    </row>
    <row r="10" customFormat="false" ht="15" hidden="false" customHeight="false" outlineLevel="0" collapsed="false">
      <c r="A10" s="15" t="s">
        <v>2223</v>
      </c>
      <c r="B10" s="16" t="s">
        <v>2224</v>
      </c>
      <c r="C10" s="15" t="s">
        <v>48</v>
      </c>
      <c r="D10" s="15" t="s">
        <v>2225</v>
      </c>
      <c r="E10" s="15" t="s">
        <v>2218</v>
      </c>
      <c r="F10" s="15" t="s">
        <v>2226</v>
      </c>
      <c r="G10" s="15" t="s">
        <v>2227</v>
      </c>
      <c r="H10" s="15" t="s">
        <v>2183</v>
      </c>
      <c r="I10" s="15" t="s">
        <v>2228</v>
      </c>
    </row>
    <row r="11" customFormat="false" ht="23.85" hidden="false" customHeight="false" outlineLevel="0" collapsed="false">
      <c r="A11" s="17" t="s">
        <v>2229</v>
      </c>
      <c r="B11" s="18" t="s">
        <v>2230</v>
      </c>
      <c r="C11" s="17" t="s">
        <v>2231</v>
      </c>
      <c r="D11" s="17" t="s">
        <v>2172</v>
      </c>
      <c r="E11" s="17" t="s">
        <v>2232</v>
      </c>
      <c r="F11" s="17" t="s">
        <v>2233</v>
      </c>
      <c r="G11" s="17" t="s">
        <v>2234</v>
      </c>
      <c r="H11" s="17" t="s">
        <v>2235</v>
      </c>
      <c r="I11" s="17" t="s">
        <v>2236</v>
      </c>
    </row>
    <row r="12" customFormat="false" ht="23.85" hidden="false" customHeight="false" outlineLevel="0" collapsed="false">
      <c r="A12" s="15" t="s">
        <v>2237</v>
      </c>
      <c r="B12" s="16" t="s">
        <v>2238</v>
      </c>
      <c r="C12" s="15" t="s">
        <v>2239</v>
      </c>
      <c r="D12" s="15" t="s">
        <v>2172</v>
      </c>
      <c r="E12" s="15" t="s">
        <v>2240</v>
      </c>
      <c r="F12" s="15" t="s">
        <v>2241</v>
      </c>
      <c r="G12" s="15" t="s">
        <v>2242</v>
      </c>
      <c r="H12" s="15" t="s">
        <v>2206</v>
      </c>
      <c r="I12" s="15" t="s">
        <v>2236</v>
      </c>
    </row>
    <row r="13" customFormat="false" ht="23.85" hidden="false" customHeight="false" outlineLevel="0" collapsed="false">
      <c r="A13" s="17" t="s">
        <v>2243</v>
      </c>
      <c r="B13" s="18" t="s">
        <v>2244</v>
      </c>
      <c r="C13" s="17" t="s">
        <v>2245</v>
      </c>
      <c r="D13" s="17" t="s">
        <v>2172</v>
      </c>
      <c r="E13" s="17" t="s">
        <v>2246</v>
      </c>
      <c r="F13" s="17" t="s">
        <v>2247</v>
      </c>
      <c r="G13" s="17" t="s">
        <v>2248</v>
      </c>
      <c r="H13" s="17" t="s">
        <v>2249</v>
      </c>
      <c r="I13" s="17" t="s">
        <v>2236</v>
      </c>
    </row>
    <row r="14" customFormat="false" ht="23.85" hidden="false" customHeight="false" outlineLevel="0" collapsed="false">
      <c r="A14" s="15" t="s">
        <v>2250</v>
      </c>
      <c r="B14" s="16" t="s">
        <v>2251</v>
      </c>
      <c r="C14" s="15" t="s">
        <v>2252</v>
      </c>
      <c r="D14" s="15" t="s">
        <v>2253</v>
      </c>
      <c r="E14" s="15" t="s">
        <v>2246</v>
      </c>
      <c r="F14" s="15" t="s">
        <v>2254</v>
      </c>
      <c r="G14" s="15" t="s">
        <v>2255</v>
      </c>
      <c r="H14" s="15" t="s">
        <v>2256</v>
      </c>
      <c r="I14" s="15" t="s">
        <v>2257</v>
      </c>
    </row>
    <row r="15" customFormat="false" ht="23.85" hidden="false" customHeight="false" outlineLevel="0" collapsed="false">
      <c r="A15" s="17" t="s">
        <v>2258</v>
      </c>
      <c r="B15" s="18" t="s">
        <v>2259</v>
      </c>
      <c r="C15" s="17" t="s">
        <v>2260</v>
      </c>
      <c r="D15" s="17" t="s">
        <v>2172</v>
      </c>
      <c r="E15" s="17" t="s">
        <v>2218</v>
      </c>
      <c r="F15" s="17" t="s">
        <v>2261</v>
      </c>
      <c r="G15" s="17" t="s">
        <v>2262</v>
      </c>
      <c r="H15" s="17" t="s">
        <v>2183</v>
      </c>
      <c r="I15" s="17" t="s">
        <v>2263</v>
      </c>
    </row>
    <row r="16" customFormat="false" ht="23.85" hidden="false" customHeight="false" outlineLevel="0" collapsed="false">
      <c r="A16" s="15" t="s">
        <v>2264</v>
      </c>
      <c r="B16" s="16" t="s">
        <v>2265</v>
      </c>
      <c r="C16" s="15" t="s">
        <v>2260</v>
      </c>
      <c r="D16" s="15" t="s">
        <v>2266</v>
      </c>
      <c r="E16" s="15" t="s">
        <v>2267</v>
      </c>
      <c r="F16" s="15" t="s">
        <v>2268</v>
      </c>
      <c r="G16" s="15" t="s">
        <v>2269</v>
      </c>
      <c r="H16" s="15" t="s">
        <v>2270</v>
      </c>
      <c r="I16" s="15" t="s">
        <v>173</v>
      </c>
    </row>
    <row r="17" customFormat="false" ht="15" hidden="false" customHeight="false" outlineLevel="0" collapsed="false">
      <c r="A17" s="17" t="s">
        <v>2271</v>
      </c>
      <c r="B17" s="18" t="s">
        <v>2272</v>
      </c>
      <c r="C17" s="17" t="s">
        <v>2273</v>
      </c>
      <c r="D17" s="17" t="s">
        <v>2274</v>
      </c>
      <c r="E17" s="17" t="s">
        <v>2275</v>
      </c>
      <c r="F17" s="17" t="s">
        <v>2276</v>
      </c>
      <c r="G17" s="17" t="s">
        <v>2277</v>
      </c>
      <c r="H17" s="17" t="s">
        <v>2278</v>
      </c>
      <c r="I17" s="17" t="s">
        <v>173</v>
      </c>
    </row>
    <row r="18" customFormat="false" ht="23.85" hidden="false" customHeight="false" outlineLevel="0" collapsed="false">
      <c r="A18" s="15" t="s">
        <v>2279</v>
      </c>
      <c r="B18" s="16" t="s">
        <v>2280</v>
      </c>
      <c r="C18" s="15" t="s">
        <v>2281</v>
      </c>
      <c r="D18" s="15" t="s">
        <v>2282</v>
      </c>
      <c r="E18" s="15" t="s">
        <v>2283</v>
      </c>
      <c r="F18" s="15" t="s">
        <v>2284</v>
      </c>
      <c r="G18" s="15" t="s">
        <v>464</v>
      </c>
      <c r="H18" s="15" t="s">
        <v>2249</v>
      </c>
      <c r="I18" s="15" t="s">
        <v>2236</v>
      </c>
    </row>
    <row r="19" customFormat="false" ht="15" hidden="false" customHeight="false" outlineLevel="0" collapsed="false">
      <c r="A19" s="17" t="s">
        <v>2285</v>
      </c>
      <c r="B19" s="18" t="s">
        <v>2286</v>
      </c>
      <c r="C19" s="17" t="s">
        <v>50</v>
      </c>
      <c r="D19" s="17" t="s">
        <v>2287</v>
      </c>
      <c r="E19" s="17" t="s">
        <v>2288</v>
      </c>
      <c r="F19" s="17" t="s">
        <v>2289</v>
      </c>
      <c r="G19" s="17" t="s">
        <v>2290</v>
      </c>
      <c r="H19" s="17" t="s">
        <v>2291</v>
      </c>
      <c r="I19" s="17" t="s">
        <v>2292</v>
      </c>
    </row>
    <row r="20" customFormat="false" ht="15" hidden="false" customHeight="false" outlineLevel="0" collapsed="false">
      <c r="A20" s="15" t="s">
        <v>2293</v>
      </c>
      <c r="B20" s="16" t="s">
        <v>2294</v>
      </c>
      <c r="C20" s="15" t="s">
        <v>50</v>
      </c>
      <c r="D20" s="15" t="s">
        <v>2295</v>
      </c>
      <c r="E20" s="15" t="s">
        <v>2296</v>
      </c>
      <c r="F20" s="15" t="s">
        <v>2297</v>
      </c>
      <c r="G20" s="15" t="s">
        <v>2298</v>
      </c>
      <c r="H20" s="15" t="s">
        <v>2221</v>
      </c>
      <c r="I20" s="15" t="s">
        <v>2299</v>
      </c>
    </row>
    <row r="21" customFormat="false" ht="23.85" hidden="false" customHeight="false" outlineLevel="0" collapsed="false">
      <c r="A21" s="17" t="s">
        <v>2300</v>
      </c>
      <c r="B21" s="18" t="s">
        <v>2301</v>
      </c>
      <c r="C21" s="17" t="s">
        <v>50</v>
      </c>
      <c r="D21" s="17" t="s">
        <v>2302</v>
      </c>
      <c r="E21" s="17" t="s">
        <v>2303</v>
      </c>
      <c r="F21" s="17" t="s">
        <v>2304</v>
      </c>
      <c r="G21" s="17" t="s">
        <v>2305</v>
      </c>
      <c r="H21" s="17" t="s">
        <v>2306</v>
      </c>
      <c r="I21" s="17" t="s">
        <v>2307</v>
      </c>
    </row>
    <row r="22" customFormat="false" ht="15" hidden="false" customHeight="false" outlineLevel="0" collapsed="false">
      <c r="A22" s="15" t="s">
        <v>2308</v>
      </c>
      <c r="B22" s="16" t="s">
        <v>2309</v>
      </c>
      <c r="C22" s="15" t="s">
        <v>50</v>
      </c>
      <c r="D22" s="15" t="s">
        <v>2302</v>
      </c>
      <c r="E22" s="15" t="s">
        <v>2310</v>
      </c>
      <c r="F22" s="15" t="s">
        <v>2311</v>
      </c>
      <c r="G22" s="15" t="s">
        <v>2312</v>
      </c>
      <c r="H22" s="15" t="s">
        <v>2313</v>
      </c>
      <c r="I22" s="15" t="s">
        <v>2314</v>
      </c>
    </row>
    <row r="23" customFormat="false" ht="23.85" hidden="false" customHeight="false" outlineLevel="0" collapsed="false">
      <c r="A23" s="17" t="s">
        <v>2315</v>
      </c>
      <c r="B23" s="18" t="s">
        <v>2316</v>
      </c>
      <c r="C23" s="17" t="s">
        <v>2317</v>
      </c>
      <c r="D23" s="17" t="s">
        <v>2253</v>
      </c>
      <c r="E23" s="17" t="s">
        <v>2218</v>
      </c>
      <c r="F23" s="17" t="s">
        <v>2318</v>
      </c>
      <c r="G23" s="17" t="s">
        <v>2319</v>
      </c>
      <c r="H23" s="17" t="s">
        <v>2320</v>
      </c>
      <c r="I23" s="17" t="s">
        <v>2321</v>
      </c>
    </row>
    <row r="24" customFormat="false" ht="23.85" hidden="false" customHeight="false" outlineLevel="0" collapsed="false">
      <c r="A24" s="15" t="s">
        <v>2322</v>
      </c>
      <c r="B24" s="16" t="s">
        <v>2323</v>
      </c>
      <c r="C24" s="15" t="s">
        <v>2317</v>
      </c>
      <c r="D24" s="15" t="s">
        <v>2187</v>
      </c>
      <c r="E24" s="15" t="s">
        <v>2324</v>
      </c>
      <c r="F24" s="15" t="s">
        <v>2325</v>
      </c>
      <c r="G24" s="15" t="s">
        <v>2326</v>
      </c>
      <c r="H24" s="15" t="s">
        <v>2327</v>
      </c>
      <c r="I24" s="15" t="s">
        <v>2328</v>
      </c>
    </row>
    <row r="25" customFormat="false" ht="15" hidden="false" customHeight="false" outlineLevel="0" collapsed="false">
      <c r="A25" s="17" t="s">
        <v>2329</v>
      </c>
      <c r="B25" s="18" t="s">
        <v>2330</v>
      </c>
      <c r="C25" s="17" t="s">
        <v>2331</v>
      </c>
      <c r="D25" s="17" t="s">
        <v>2332</v>
      </c>
      <c r="E25" s="17" t="s">
        <v>2333</v>
      </c>
      <c r="F25" s="17" t="s">
        <v>2334</v>
      </c>
      <c r="G25" s="17" t="s">
        <v>2335</v>
      </c>
      <c r="H25" s="17" t="s">
        <v>2336</v>
      </c>
      <c r="I25" s="17" t="s">
        <v>2337</v>
      </c>
    </row>
    <row r="26" customFormat="false" ht="15" hidden="false" customHeight="false" outlineLevel="0" collapsed="false">
      <c r="A26" s="15" t="s">
        <v>2338</v>
      </c>
      <c r="B26" s="16" t="s">
        <v>2339</v>
      </c>
      <c r="C26" s="15" t="s">
        <v>2340</v>
      </c>
      <c r="D26" s="15" t="s">
        <v>2341</v>
      </c>
      <c r="E26" s="15" t="s">
        <v>2342</v>
      </c>
      <c r="F26" s="15" t="s">
        <v>2343</v>
      </c>
      <c r="G26" s="15" t="s">
        <v>2344</v>
      </c>
      <c r="H26" s="15" t="s">
        <v>2345</v>
      </c>
      <c r="I26" s="15" t="s">
        <v>2346</v>
      </c>
    </row>
    <row r="27" customFormat="false" ht="23.85" hidden="false" customHeight="false" outlineLevel="0" collapsed="false">
      <c r="A27" s="17" t="s">
        <v>2347</v>
      </c>
      <c r="B27" s="18" t="s">
        <v>2348</v>
      </c>
      <c r="C27" s="17" t="s">
        <v>2349</v>
      </c>
      <c r="D27" s="17" t="s">
        <v>2253</v>
      </c>
      <c r="E27" s="17" t="s">
        <v>2324</v>
      </c>
      <c r="F27" s="17" t="s">
        <v>2350</v>
      </c>
      <c r="G27" s="17" t="s">
        <v>2351</v>
      </c>
      <c r="H27" s="17" t="s">
        <v>2352</v>
      </c>
      <c r="I27" s="17" t="s">
        <v>2353</v>
      </c>
    </row>
    <row r="28" customFormat="false" ht="23.85" hidden="false" customHeight="false" outlineLevel="0" collapsed="false">
      <c r="A28" s="15" t="s">
        <v>2354</v>
      </c>
      <c r="B28" s="16" t="s">
        <v>2355</v>
      </c>
      <c r="C28" s="15" t="s">
        <v>2349</v>
      </c>
      <c r="D28" s="15" t="s">
        <v>2172</v>
      </c>
      <c r="E28" s="15" t="s">
        <v>2356</v>
      </c>
      <c r="F28" s="15" t="s">
        <v>2357</v>
      </c>
      <c r="G28" s="15" t="s">
        <v>2358</v>
      </c>
      <c r="H28" s="15" t="s">
        <v>1564</v>
      </c>
      <c r="I28" s="15" t="s">
        <v>2359</v>
      </c>
    </row>
    <row r="29" customFormat="false" ht="23.85" hidden="false" customHeight="false" outlineLevel="0" collapsed="false">
      <c r="A29" s="17" t="s">
        <v>2360</v>
      </c>
      <c r="B29" s="18" t="s">
        <v>2361</v>
      </c>
      <c r="C29" s="17" t="s">
        <v>52</v>
      </c>
      <c r="D29" s="17" t="s">
        <v>2253</v>
      </c>
      <c r="E29" s="17" t="s">
        <v>2362</v>
      </c>
      <c r="F29" s="17" t="s">
        <v>2363</v>
      </c>
      <c r="G29" s="17" t="s">
        <v>2364</v>
      </c>
      <c r="H29" s="17" t="s">
        <v>2365</v>
      </c>
      <c r="I29" s="17" t="s">
        <v>2366</v>
      </c>
    </row>
    <row r="30" customFormat="false" ht="15" hidden="false" customHeight="false" outlineLevel="0" collapsed="false">
      <c r="A30" s="15" t="s">
        <v>2367</v>
      </c>
      <c r="B30" s="16" t="s">
        <v>2368</v>
      </c>
      <c r="C30" s="15" t="s">
        <v>52</v>
      </c>
      <c r="D30" s="15" t="s">
        <v>2172</v>
      </c>
      <c r="E30" s="15" t="s">
        <v>2369</v>
      </c>
      <c r="F30" s="15" t="s">
        <v>2205</v>
      </c>
      <c r="G30" s="15" t="s">
        <v>2370</v>
      </c>
      <c r="H30" s="15" t="s">
        <v>2183</v>
      </c>
      <c r="I30" s="15" t="s">
        <v>2371</v>
      </c>
    </row>
    <row r="31" customFormat="false" ht="15" hidden="false" customHeight="false" outlineLevel="0" collapsed="false">
      <c r="A31" s="17" t="s">
        <v>2372</v>
      </c>
      <c r="B31" s="18" t="s">
        <v>2373</v>
      </c>
      <c r="C31" s="17" t="s">
        <v>52</v>
      </c>
      <c r="D31" s="17" t="s">
        <v>2172</v>
      </c>
      <c r="E31" s="17" t="s">
        <v>2374</v>
      </c>
      <c r="F31" s="17" t="s">
        <v>2375</v>
      </c>
      <c r="G31" s="17" t="s">
        <v>2376</v>
      </c>
      <c r="H31" s="17" t="s">
        <v>2377</v>
      </c>
      <c r="I31" s="17" t="s">
        <v>173</v>
      </c>
    </row>
    <row r="32" customFormat="false" ht="15" hidden="false" customHeight="false" outlineLevel="0" collapsed="false">
      <c r="A32" s="15" t="s">
        <v>2378</v>
      </c>
      <c r="B32" s="16" t="s">
        <v>2379</v>
      </c>
      <c r="C32" s="15" t="s">
        <v>52</v>
      </c>
      <c r="D32" s="15" t="s">
        <v>2172</v>
      </c>
      <c r="E32" s="15" t="s">
        <v>2380</v>
      </c>
      <c r="F32" s="15" t="s">
        <v>2381</v>
      </c>
      <c r="G32" s="15" t="s">
        <v>2382</v>
      </c>
      <c r="H32" s="15" t="s">
        <v>2183</v>
      </c>
      <c r="I32" s="15" t="s">
        <v>2383</v>
      </c>
    </row>
    <row r="33" customFormat="false" ht="23.85" hidden="false" customHeight="false" outlineLevel="0" collapsed="false">
      <c r="A33" s="17" t="s">
        <v>2384</v>
      </c>
      <c r="B33" s="18" t="s">
        <v>2385</v>
      </c>
      <c r="C33" s="17" t="s">
        <v>2386</v>
      </c>
      <c r="D33" s="17" t="s">
        <v>2387</v>
      </c>
      <c r="E33" s="17" t="s">
        <v>2388</v>
      </c>
      <c r="F33" s="17" t="s">
        <v>2389</v>
      </c>
      <c r="G33" s="17" t="s">
        <v>2390</v>
      </c>
      <c r="H33" s="17" t="s">
        <v>2391</v>
      </c>
      <c r="I33" s="17" t="s">
        <v>2392</v>
      </c>
    </row>
    <row r="34" customFormat="false" ht="15" hidden="false" customHeight="false" outlineLevel="0" collapsed="false">
      <c r="A34" s="15" t="s">
        <v>2393</v>
      </c>
      <c r="B34" s="16" t="s">
        <v>2394</v>
      </c>
      <c r="C34" s="15" t="s">
        <v>2395</v>
      </c>
      <c r="D34" s="15" t="s">
        <v>2172</v>
      </c>
      <c r="E34" s="15" t="s">
        <v>2173</v>
      </c>
      <c r="F34" s="15" t="s">
        <v>2375</v>
      </c>
      <c r="G34" s="15" t="s">
        <v>2396</v>
      </c>
      <c r="H34" s="15" t="s">
        <v>2397</v>
      </c>
      <c r="I34" s="15" t="s">
        <v>2398</v>
      </c>
    </row>
    <row r="35" customFormat="false" ht="23.85" hidden="false" customHeight="false" outlineLevel="0" collapsed="false">
      <c r="A35" s="17" t="s">
        <v>2399</v>
      </c>
      <c r="B35" s="18" t="s">
        <v>2400</v>
      </c>
      <c r="C35" s="17" t="s">
        <v>2401</v>
      </c>
      <c r="D35" s="17" t="s">
        <v>2172</v>
      </c>
      <c r="E35" s="17" t="s">
        <v>2402</v>
      </c>
      <c r="F35" s="17" t="s">
        <v>2403</v>
      </c>
      <c r="G35" s="17" t="s">
        <v>2404</v>
      </c>
      <c r="H35" s="17" t="s">
        <v>2405</v>
      </c>
      <c r="I35" s="17" t="s">
        <v>2406</v>
      </c>
    </row>
    <row r="36" customFormat="false" ht="23.85" hidden="false" customHeight="false" outlineLevel="0" collapsed="false">
      <c r="A36" s="15" t="s">
        <v>2407</v>
      </c>
      <c r="B36" s="16" t="s">
        <v>2408</v>
      </c>
      <c r="C36" s="15" t="s">
        <v>2401</v>
      </c>
      <c r="D36" s="15" t="s">
        <v>2172</v>
      </c>
      <c r="E36" s="15" t="s">
        <v>2409</v>
      </c>
      <c r="F36" s="15" t="s">
        <v>2410</v>
      </c>
      <c r="G36" s="15" t="s">
        <v>2411</v>
      </c>
      <c r="H36" s="15" t="s">
        <v>2412</v>
      </c>
      <c r="I36" s="15" t="s">
        <v>2413</v>
      </c>
    </row>
    <row r="37" customFormat="false" ht="23.85" hidden="false" customHeight="false" outlineLevel="0" collapsed="false">
      <c r="A37" s="17" t="s">
        <v>2414</v>
      </c>
      <c r="B37" s="18" t="s">
        <v>2415</v>
      </c>
      <c r="C37" s="17" t="s">
        <v>2401</v>
      </c>
      <c r="D37" s="17" t="s">
        <v>2172</v>
      </c>
      <c r="E37" s="17" t="s">
        <v>2416</v>
      </c>
      <c r="F37" s="17" t="s">
        <v>2410</v>
      </c>
      <c r="G37" s="17" t="s">
        <v>2411</v>
      </c>
      <c r="H37" s="17" t="s">
        <v>2417</v>
      </c>
      <c r="I37" s="17" t="s">
        <v>2418</v>
      </c>
    </row>
    <row r="38" customFormat="false" ht="23.85" hidden="false" customHeight="false" outlineLevel="0" collapsed="false">
      <c r="A38" s="15" t="s">
        <v>2419</v>
      </c>
      <c r="B38" s="16" t="s">
        <v>2420</v>
      </c>
      <c r="C38" s="15" t="s">
        <v>2401</v>
      </c>
      <c r="D38" s="15" t="s">
        <v>2421</v>
      </c>
      <c r="E38" s="15" t="s">
        <v>2422</v>
      </c>
      <c r="F38" s="15" t="s">
        <v>2410</v>
      </c>
      <c r="G38" s="15" t="s">
        <v>2423</v>
      </c>
      <c r="H38" s="15" t="s">
        <v>2424</v>
      </c>
      <c r="I38" s="15" t="s">
        <v>2425</v>
      </c>
    </row>
    <row r="39" customFormat="false" ht="23.85" hidden="false" customHeight="false" outlineLevel="0" collapsed="false">
      <c r="A39" s="17" t="s">
        <v>2426</v>
      </c>
      <c r="B39" s="18" t="s">
        <v>2427</v>
      </c>
      <c r="C39" s="17" t="s">
        <v>2428</v>
      </c>
      <c r="D39" s="17" t="s">
        <v>2172</v>
      </c>
      <c r="E39" s="17" t="s">
        <v>2429</v>
      </c>
      <c r="F39" s="17" t="s">
        <v>2430</v>
      </c>
      <c r="G39" s="17" t="s">
        <v>2431</v>
      </c>
      <c r="H39" s="17" t="s">
        <v>2432</v>
      </c>
      <c r="I39" s="17" t="s">
        <v>2433</v>
      </c>
    </row>
    <row r="40" customFormat="false" ht="15" hidden="false" customHeight="false" outlineLevel="0" collapsed="false">
      <c r="A40" s="15" t="s">
        <v>2434</v>
      </c>
      <c r="B40" s="16" t="s">
        <v>2435</v>
      </c>
      <c r="C40" s="15" t="s">
        <v>2428</v>
      </c>
      <c r="D40" s="15" t="s">
        <v>2172</v>
      </c>
      <c r="E40" s="15" t="s">
        <v>2436</v>
      </c>
      <c r="F40" s="15" t="s">
        <v>2437</v>
      </c>
      <c r="G40" s="15" t="s">
        <v>2438</v>
      </c>
      <c r="H40" s="15" t="s">
        <v>2439</v>
      </c>
      <c r="I40" s="15" t="s">
        <v>2440</v>
      </c>
    </row>
    <row r="41" customFormat="false" ht="23.85" hidden="false" customHeight="false" outlineLevel="0" collapsed="false">
      <c r="A41" s="17" t="s">
        <v>2441</v>
      </c>
      <c r="B41" s="18" t="s">
        <v>2442</v>
      </c>
      <c r="C41" s="17" t="s">
        <v>2443</v>
      </c>
      <c r="D41" s="17" t="s">
        <v>2172</v>
      </c>
      <c r="E41" s="17" t="s">
        <v>2444</v>
      </c>
      <c r="F41" s="17" t="s">
        <v>2445</v>
      </c>
      <c r="G41" s="17" t="s">
        <v>2411</v>
      </c>
      <c r="H41" s="17" t="s">
        <v>2446</v>
      </c>
      <c r="I41" s="17" t="s">
        <v>2447</v>
      </c>
    </row>
    <row r="42" customFormat="false" ht="23.85" hidden="false" customHeight="false" outlineLevel="0" collapsed="false">
      <c r="A42" s="15" t="s">
        <v>2448</v>
      </c>
      <c r="B42" s="16" t="s">
        <v>2449</v>
      </c>
      <c r="C42" s="15" t="s">
        <v>2443</v>
      </c>
      <c r="D42" s="15" t="s">
        <v>2253</v>
      </c>
      <c r="E42" s="15" t="s">
        <v>2218</v>
      </c>
      <c r="F42" s="15" t="s">
        <v>2430</v>
      </c>
      <c r="G42" s="15" t="s">
        <v>2411</v>
      </c>
      <c r="H42" s="15" t="s">
        <v>2450</v>
      </c>
      <c r="I42" s="15" t="s">
        <v>2451</v>
      </c>
    </row>
    <row r="43" customFormat="false" ht="15" hidden="false" customHeight="false" outlineLevel="0" collapsed="false">
      <c r="A43" s="17" t="s">
        <v>2452</v>
      </c>
      <c r="B43" s="18" t="s">
        <v>2453</v>
      </c>
      <c r="C43" s="17" t="s">
        <v>2454</v>
      </c>
      <c r="D43" s="17" t="s">
        <v>2172</v>
      </c>
      <c r="E43" s="17" t="s">
        <v>2283</v>
      </c>
      <c r="F43" s="17" t="s">
        <v>2410</v>
      </c>
      <c r="G43" s="17" t="s">
        <v>2411</v>
      </c>
      <c r="H43" s="17" t="s">
        <v>2455</v>
      </c>
      <c r="I43" s="17" t="s">
        <v>2456</v>
      </c>
    </row>
    <row r="44" customFormat="false" ht="23.85" hidden="false" customHeight="false" outlineLevel="0" collapsed="false">
      <c r="A44" s="15" t="s">
        <v>2457</v>
      </c>
      <c r="B44" s="16" t="s">
        <v>2458</v>
      </c>
      <c r="C44" s="15" t="s">
        <v>2459</v>
      </c>
      <c r="D44" s="15" t="s">
        <v>2172</v>
      </c>
      <c r="E44" s="15" t="s">
        <v>2460</v>
      </c>
      <c r="F44" s="15" t="s">
        <v>2461</v>
      </c>
      <c r="G44" s="15" t="s">
        <v>2462</v>
      </c>
      <c r="H44" s="15" t="s">
        <v>2463</v>
      </c>
      <c r="I44" s="15" t="s">
        <v>2464</v>
      </c>
    </row>
    <row r="45" customFormat="false" ht="15" hidden="false" customHeight="false" outlineLevel="0" collapsed="false">
      <c r="A45" s="17" t="s">
        <v>2465</v>
      </c>
      <c r="B45" s="18" t="s">
        <v>2466</v>
      </c>
      <c r="C45" s="17" t="s">
        <v>2467</v>
      </c>
      <c r="D45" s="17" t="s">
        <v>2172</v>
      </c>
      <c r="E45" s="17" t="s">
        <v>2468</v>
      </c>
      <c r="F45" s="17" t="s">
        <v>2375</v>
      </c>
      <c r="G45" s="17" t="s">
        <v>2469</v>
      </c>
      <c r="H45" s="17" t="s">
        <v>2470</v>
      </c>
      <c r="I45" s="17" t="s">
        <v>2471</v>
      </c>
    </row>
    <row r="46" customFormat="false" ht="15" hidden="false" customHeight="false" outlineLevel="0" collapsed="false">
      <c r="A46" s="15" t="s">
        <v>2472</v>
      </c>
      <c r="B46" s="16" t="s">
        <v>2473</v>
      </c>
      <c r="C46" s="15" t="s">
        <v>2467</v>
      </c>
      <c r="D46" s="15" t="s">
        <v>2172</v>
      </c>
      <c r="E46" s="15" t="s">
        <v>2474</v>
      </c>
      <c r="F46" s="15" t="s">
        <v>2375</v>
      </c>
      <c r="G46" s="15" t="s">
        <v>2411</v>
      </c>
      <c r="H46" s="15" t="s">
        <v>2470</v>
      </c>
      <c r="I46" s="15" t="s">
        <v>2475</v>
      </c>
    </row>
    <row r="47" customFormat="false" ht="15" hidden="false" customHeight="false" outlineLevel="0" collapsed="false">
      <c r="A47" s="17" t="s">
        <v>2476</v>
      </c>
      <c r="B47" s="18" t="s">
        <v>2477</v>
      </c>
      <c r="C47" s="17" t="s">
        <v>2467</v>
      </c>
      <c r="D47" s="17" t="s">
        <v>2172</v>
      </c>
      <c r="E47" s="17" t="s">
        <v>2478</v>
      </c>
      <c r="F47" s="17" t="s">
        <v>2479</v>
      </c>
      <c r="G47" s="17" t="s">
        <v>2411</v>
      </c>
      <c r="H47" s="17" t="s">
        <v>2470</v>
      </c>
      <c r="I47" s="17" t="s">
        <v>2480</v>
      </c>
    </row>
    <row r="48" customFormat="false" ht="15" hidden="false" customHeight="false" outlineLevel="0" collapsed="false">
      <c r="A48" s="15" t="s">
        <v>2481</v>
      </c>
      <c r="B48" s="16" t="s">
        <v>2482</v>
      </c>
      <c r="C48" s="15" t="s">
        <v>2467</v>
      </c>
      <c r="D48" s="15" t="s">
        <v>2172</v>
      </c>
      <c r="E48" s="15" t="s">
        <v>2483</v>
      </c>
      <c r="F48" s="15" t="s">
        <v>2484</v>
      </c>
      <c r="G48" s="15" t="s">
        <v>2411</v>
      </c>
      <c r="H48" s="15" t="s">
        <v>2470</v>
      </c>
      <c r="I48" s="15" t="s">
        <v>2485</v>
      </c>
    </row>
    <row r="49" customFormat="false" ht="23.85" hidden="false" customHeight="false" outlineLevel="0" collapsed="false">
      <c r="A49" s="17" t="s">
        <v>2486</v>
      </c>
      <c r="B49" s="18" t="s">
        <v>2487</v>
      </c>
      <c r="C49" s="17" t="s">
        <v>2488</v>
      </c>
      <c r="D49" s="17" t="s">
        <v>2253</v>
      </c>
      <c r="E49" s="17" t="s">
        <v>2489</v>
      </c>
      <c r="F49" s="17" t="s">
        <v>2430</v>
      </c>
      <c r="G49" s="17" t="s">
        <v>2490</v>
      </c>
      <c r="H49" s="17" t="s">
        <v>2470</v>
      </c>
      <c r="I49" s="17" t="s">
        <v>2491</v>
      </c>
    </row>
    <row r="50" customFormat="false" ht="23.85" hidden="false" customHeight="false" outlineLevel="0" collapsed="false">
      <c r="A50" s="15" t="s">
        <v>2492</v>
      </c>
      <c r="B50" s="16" t="s">
        <v>2493</v>
      </c>
      <c r="C50" s="15" t="s">
        <v>2494</v>
      </c>
      <c r="D50" s="15" t="s">
        <v>2495</v>
      </c>
      <c r="E50" s="15" t="s">
        <v>2496</v>
      </c>
      <c r="F50" s="15" t="s">
        <v>2497</v>
      </c>
      <c r="G50" s="15" t="s">
        <v>2498</v>
      </c>
      <c r="H50" s="15" t="s">
        <v>2499</v>
      </c>
      <c r="I50" s="15" t="s">
        <v>2500</v>
      </c>
    </row>
    <row r="51" customFormat="false" ht="15" hidden="false" customHeight="false" outlineLevel="0" collapsed="false">
      <c r="A51" s="17" t="s">
        <v>2501</v>
      </c>
      <c r="B51" s="18" t="s">
        <v>2502</v>
      </c>
      <c r="C51" s="17" t="s">
        <v>2503</v>
      </c>
      <c r="D51" s="17" t="s">
        <v>2504</v>
      </c>
      <c r="E51" s="17" t="s">
        <v>2505</v>
      </c>
      <c r="F51" s="17" t="s">
        <v>2506</v>
      </c>
      <c r="G51" s="17" t="s">
        <v>2507</v>
      </c>
      <c r="H51" s="17" t="s">
        <v>2508</v>
      </c>
      <c r="I51" s="17" t="s">
        <v>173</v>
      </c>
    </row>
    <row r="52" customFormat="false" ht="15" hidden="false" customHeight="false" outlineLevel="0" collapsed="false">
      <c r="A52" s="15" t="s">
        <v>2509</v>
      </c>
      <c r="B52" s="16" t="s">
        <v>2510</v>
      </c>
      <c r="C52" s="15" t="s">
        <v>2503</v>
      </c>
      <c r="D52" s="15" t="s">
        <v>2511</v>
      </c>
      <c r="E52" s="15" t="s">
        <v>2512</v>
      </c>
      <c r="F52" s="15" t="s">
        <v>2513</v>
      </c>
      <c r="G52" s="15" t="s">
        <v>2514</v>
      </c>
      <c r="H52" s="15" t="s">
        <v>2515</v>
      </c>
      <c r="I52" s="15" t="s">
        <v>173</v>
      </c>
    </row>
    <row r="53" customFormat="false" ht="23.85" hidden="false" customHeight="false" outlineLevel="0" collapsed="false">
      <c r="A53" s="17" t="s">
        <v>2516</v>
      </c>
      <c r="B53" s="18" t="s">
        <v>2517</v>
      </c>
      <c r="C53" s="17" t="s">
        <v>2518</v>
      </c>
      <c r="D53" s="17" t="s">
        <v>2172</v>
      </c>
      <c r="E53" s="17" t="s">
        <v>2436</v>
      </c>
      <c r="F53" s="17" t="s">
        <v>2519</v>
      </c>
      <c r="G53" s="17" t="s">
        <v>2520</v>
      </c>
      <c r="H53" s="17" t="s">
        <v>2521</v>
      </c>
      <c r="I53" s="17" t="s">
        <v>2522</v>
      </c>
    </row>
    <row r="54" customFormat="false" ht="15" hidden="false" customHeight="false" outlineLevel="0" collapsed="false">
      <c r="A54" s="15" t="s">
        <v>2523</v>
      </c>
      <c r="B54" s="16" t="s">
        <v>2524</v>
      </c>
      <c r="C54" s="15" t="s">
        <v>2525</v>
      </c>
      <c r="D54" s="15" t="s">
        <v>2172</v>
      </c>
      <c r="E54" s="15" t="s">
        <v>2526</v>
      </c>
      <c r="F54" s="15" t="s">
        <v>2527</v>
      </c>
      <c r="G54" s="15" t="s">
        <v>2528</v>
      </c>
      <c r="H54" s="15" t="s">
        <v>2529</v>
      </c>
      <c r="I54" s="15" t="s">
        <v>2530</v>
      </c>
    </row>
    <row r="55" customFormat="false" ht="15" hidden="false" customHeight="false" outlineLevel="0" collapsed="false">
      <c r="A55" s="17" t="s">
        <v>2531</v>
      </c>
      <c r="B55" s="18" t="s">
        <v>2532</v>
      </c>
      <c r="C55" s="17" t="s">
        <v>2533</v>
      </c>
      <c r="D55" s="17" t="s">
        <v>2172</v>
      </c>
      <c r="E55" s="17" t="s">
        <v>2534</v>
      </c>
      <c r="F55" s="17" t="s">
        <v>2535</v>
      </c>
      <c r="G55" s="17" t="s">
        <v>2536</v>
      </c>
      <c r="H55" s="17" t="s">
        <v>2537</v>
      </c>
      <c r="I55" s="17" t="s">
        <v>173</v>
      </c>
    </row>
    <row r="56" customFormat="false" ht="15" hidden="false" customHeight="false" outlineLevel="0" collapsed="false">
      <c r="A56" s="15" t="s">
        <v>2538</v>
      </c>
      <c r="B56" s="16" t="s">
        <v>2539</v>
      </c>
      <c r="C56" s="15" t="s">
        <v>55</v>
      </c>
      <c r="D56" s="15" t="s">
        <v>2172</v>
      </c>
      <c r="E56" s="15" t="s">
        <v>2218</v>
      </c>
      <c r="F56" s="15" t="s">
        <v>2540</v>
      </c>
      <c r="G56" s="15" t="s">
        <v>2541</v>
      </c>
      <c r="H56" s="15" t="s">
        <v>2542</v>
      </c>
      <c r="I56" s="15" t="s">
        <v>2543</v>
      </c>
    </row>
    <row r="57" customFormat="false" ht="23.85" hidden="false" customHeight="false" outlineLevel="0" collapsed="false">
      <c r="A57" s="17" t="s">
        <v>2544</v>
      </c>
      <c r="B57" s="18" t="s">
        <v>2545</v>
      </c>
      <c r="C57" s="17" t="s">
        <v>2546</v>
      </c>
      <c r="D57" s="17" t="s">
        <v>2187</v>
      </c>
      <c r="E57" s="17" t="s">
        <v>2218</v>
      </c>
      <c r="F57" s="17" t="s">
        <v>2547</v>
      </c>
      <c r="G57" s="17" t="s">
        <v>2548</v>
      </c>
      <c r="H57" s="17" t="s">
        <v>2549</v>
      </c>
      <c r="I57" s="17" t="s">
        <v>2550</v>
      </c>
    </row>
    <row r="58" customFormat="false" ht="23.85" hidden="false" customHeight="false" outlineLevel="0" collapsed="false">
      <c r="A58" s="15" t="s">
        <v>2551</v>
      </c>
      <c r="B58" s="16" t="s">
        <v>2552</v>
      </c>
      <c r="C58" s="15" t="s">
        <v>2553</v>
      </c>
      <c r="D58" s="15" t="s">
        <v>2172</v>
      </c>
      <c r="E58" s="15" t="s">
        <v>2554</v>
      </c>
      <c r="F58" s="15" t="s">
        <v>2555</v>
      </c>
      <c r="G58" s="15" t="s">
        <v>2556</v>
      </c>
      <c r="H58" s="15" t="s">
        <v>2557</v>
      </c>
      <c r="I58" s="15" t="s">
        <v>173</v>
      </c>
    </row>
    <row r="59" customFormat="false" ht="23.85" hidden="false" customHeight="false" outlineLevel="0" collapsed="false">
      <c r="A59" s="17" t="s">
        <v>2558</v>
      </c>
      <c r="B59" s="18" t="s">
        <v>2559</v>
      </c>
      <c r="C59" s="17" t="s">
        <v>2560</v>
      </c>
      <c r="D59" s="17" t="s">
        <v>2172</v>
      </c>
      <c r="E59" s="17" t="s">
        <v>2444</v>
      </c>
      <c r="F59" s="17" t="s">
        <v>2561</v>
      </c>
      <c r="G59" s="17" t="s">
        <v>2562</v>
      </c>
      <c r="H59" s="17" t="s">
        <v>2563</v>
      </c>
      <c r="I59" s="17" t="s">
        <v>2564</v>
      </c>
    </row>
    <row r="60" customFormat="false" ht="23.85" hidden="false" customHeight="false" outlineLevel="0" collapsed="false">
      <c r="A60" s="15" t="s">
        <v>2565</v>
      </c>
      <c r="B60" s="16" t="s">
        <v>2566</v>
      </c>
      <c r="C60" s="15" t="s">
        <v>2567</v>
      </c>
      <c r="D60" s="15" t="s">
        <v>2172</v>
      </c>
      <c r="E60" s="15" t="s">
        <v>2173</v>
      </c>
      <c r="F60" s="15" t="s">
        <v>2568</v>
      </c>
      <c r="G60" s="15" t="s">
        <v>2569</v>
      </c>
      <c r="H60" s="15" t="s">
        <v>2570</v>
      </c>
      <c r="I60" s="15" t="s">
        <v>2571</v>
      </c>
    </row>
    <row r="61" customFormat="false" ht="23.85" hidden="false" customHeight="false" outlineLevel="0" collapsed="false">
      <c r="A61" s="17" t="s">
        <v>2572</v>
      </c>
      <c r="B61" s="18" t="s">
        <v>2573</v>
      </c>
      <c r="C61" s="17" t="s">
        <v>2574</v>
      </c>
      <c r="D61" s="17" t="s">
        <v>2575</v>
      </c>
      <c r="E61" s="17" t="s">
        <v>2576</v>
      </c>
      <c r="F61" s="17" t="s">
        <v>2577</v>
      </c>
      <c r="G61" s="17" t="s">
        <v>2578</v>
      </c>
      <c r="H61" s="17" t="s">
        <v>2579</v>
      </c>
      <c r="I61" s="17" t="s">
        <v>2580</v>
      </c>
    </row>
    <row r="62" customFormat="false" ht="15" hidden="false" customHeight="false" outlineLevel="0" collapsed="false">
      <c r="A62" s="15" t="s">
        <v>2581</v>
      </c>
      <c r="B62" s="16" t="s">
        <v>2582</v>
      </c>
      <c r="C62" s="15" t="s">
        <v>2583</v>
      </c>
      <c r="D62" s="15" t="s">
        <v>2266</v>
      </c>
      <c r="E62" s="15" t="s">
        <v>2584</v>
      </c>
      <c r="F62" s="15" t="s">
        <v>2585</v>
      </c>
      <c r="G62" s="15" t="s">
        <v>2586</v>
      </c>
      <c r="H62" s="15" t="s">
        <v>2587</v>
      </c>
      <c r="I62" s="15" t="s">
        <v>2588</v>
      </c>
    </row>
    <row r="63" customFormat="false" ht="15" hidden="false" customHeight="false" outlineLevel="0" collapsed="false">
      <c r="A63" s="17" t="s">
        <v>2589</v>
      </c>
      <c r="B63" s="18" t="s">
        <v>2590</v>
      </c>
      <c r="C63" s="17" t="s">
        <v>2591</v>
      </c>
      <c r="D63" s="17" t="s">
        <v>2387</v>
      </c>
      <c r="E63" s="17" t="s">
        <v>2436</v>
      </c>
      <c r="F63" s="17" t="s">
        <v>2592</v>
      </c>
      <c r="G63" s="17" t="s">
        <v>2593</v>
      </c>
      <c r="H63" s="17" t="s">
        <v>2594</v>
      </c>
      <c r="I63" s="17" t="s">
        <v>2595</v>
      </c>
    </row>
    <row r="64" customFormat="false" ht="15" hidden="false" customHeight="false" outlineLevel="0" collapsed="false">
      <c r="A64" s="15" t="s">
        <v>2596</v>
      </c>
      <c r="B64" s="16" t="s">
        <v>2597</v>
      </c>
      <c r="C64" s="15" t="s">
        <v>2591</v>
      </c>
      <c r="D64" s="15" t="s">
        <v>2172</v>
      </c>
      <c r="E64" s="15" t="s">
        <v>2180</v>
      </c>
      <c r="F64" s="15" t="s">
        <v>2205</v>
      </c>
      <c r="G64" s="15" t="s">
        <v>1726</v>
      </c>
      <c r="H64" s="15" t="s">
        <v>2598</v>
      </c>
      <c r="I64" s="15" t="s">
        <v>2599</v>
      </c>
    </row>
    <row r="65" customFormat="false" ht="15" hidden="false" customHeight="false" outlineLevel="0" collapsed="false">
      <c r="A65" s="17" t="s">
        <v>2600</v>
      </c>
      <c r="B65" s="18" t="s">
        <v>2601</v>
      </c>
      <c r="C65" s="17" t="s">
        <v>2591</v>
      </c>
      <c r="D65" s="17" t="s">
        <v>2172</v>
      </c>
      <c r="E65" s="17" t="s">
        <v>2602</v>
      </c>
      <c r="F65" s="17" t="s">
        <v>2603</v>
      </c>
      <c r="G65" s="17" t="s">
        <v>2604</v>
      </c>
      <c r="H65" s="17" t="s">
        <v>2598</v>
      </c>
      <c r="I65" s="17" t="s">
        <v>2605</v>
      </c>
    </row>
    <row r="66" customFormat="false" ht="23.85" hidden="false" customHeight="false" outlineLevel="0" collapsed="false">
      <c r="A66" s="15" t="s">
        <v>2606</v>
      </c>
      <c r="B66" s="16" t="s">
        <v>2607</v>
      </c>
      <c r="C66" s="15" t="s">
        <v>2591</v>
      </c>
      <c r="D66" s="15" t="s">
        <v>2172</v>
      </c>
      <c r="E66" s="15" t="s">
        <v>2608</v>
      </c>
      <c r="F66" s="15" t="s">
        <v>2205</v>
      </c>
      <c r="G66" s="15" t="s">
        <v>1726</v>
      </c>
      <c r="H66" s="15" t="s">
        <v>2598</v>
      </c>
      <c r="I66" s="15" t="s">
        <v>2609</v>
      </c>
    </row>
    <row r="67" customFormat="false" ht="15" hidden="false" customHeight="false" outlineLevel="0" collapsed="false">
      <c r="A67" s="17" t="s">
        <v>2610</v>
      </c>
      <c r="B67" s="18" t="s">
        <v>2611</v>
      </c>
      <c r="C67" s="17" t="s">
        <v>2612</v>
      </c>
      <c r="D67" s="17" t="s">
        <v>2295</v>
      </c>
      <c r="E67" s="17" t="s">
        <v>2613</v>
      </c>
      <c r="F67" s="17" t="s">
        <v>2614</v>
      </c>
      <c r="G67" s="17" t="s">
        <v>2615</v>
      </c>
      <c r="H67" s="17" t="s">
        <v>2616</v>
      </c>
      <c r="I67" s="17" t="s">
        <v>2617</v>
      </c>
    </row>
    <row r="68" customFormat="false" ht="15" hidden="false" customHeight="false" outlineLevel="0" collapsed="false">
      <c r="A68" s="15" t="s">
        <v>2618</v>
      </c>
      <c r="B68" s="16" t="s">
        <v>2619</v>
      </c>
      <c r="C68" s="15" t="s">
        <v>2620</v>
      </c>
      <c r="D68" s="15" t="s">
        <v>2287</v>
      </c>
      <c r="E68" s="15" t="s">
        <v>173</v>
      </c>
      <c r="F68" s="15" t="s">
        <v>2621</v>
      </c>
      <c r="G68" s="15" t="s">
        <v>2622</v>
      </c>
      <c r="H68" s="15" t="s">
        <v>2623</v>
      </c>
      <c r="I68" s="15" t="s">
        <v>2624</v>
      </c>
    </row>
    <row r="69" customFormat="false" ht="15" hidden="false" customHeight="false" outlineLevel="0" collapsed="false">
      <c r="A69" s="17" t="s">
        <v>2625</v>
      </c>
      <c r="B69" s="18" t="s">
        <v>2626</v>
      </c>
      <c r="C69" s="17" t="s">
        <v>59</v>
      </c>
      <c r="D69" s="17" t="s">
        <v>2332</v>
      </c>
      <c r="E69" s="17" t="s">
        <v>2627</v>
      </c>
      <c r="F69" s="17" t="s">
        <v>2628</v>
      </c>
      <c r="G69" s="17" t="s">
        <v>2629</v>
      </c>
      <c r="H69" s="17" t="s">
        <v>2630</v>
      </c>
      <c r="I69" s="17" t="s">
        <v>2631</v>
      </c>
    </row>
    <row r="70" customFormat="false" ht="15" hidden="false" customHeight="false" outlineLevel="0" collapsed="false">
      <c r="A70" s="15" t="s">
        <v>2632</v>
      </c>
      <c r="B70" s="16" t="s">
        <v>2633</v>
      </c>
      <c r="C70" s="15" t="s">
        <v>59</v>
      </c>
      <c r="D70" s="15" t="s">
        <v>2634</v>
      </c>
      <c r="E70" s="15" t="s">
        <v>2635</v>
      </c>
      <c r="F70" s="15" t="s">
        <v>2636</v>
      </c>
      <c r="G70" s="15" t="s">
        <v>2637</v>
      </c>
      <c r="H70" s="15" t="s">
        <v>2638</v>
      </c>
      <c r="I70" s="15" t="s">
        <v>173</v>
      </c>
    </row>
    <row r="71" customFormat="false" ht="15" hidden="false" customHeight="false" outlineLevel="0" collapsed="false">
      <c r="A71" s="17" t="s">
        <v>2639</v>
      </c>
      <c r="B71" s="18" t="s">
        <v>2640</v>
      </c>
      <c r="C71" s="17" t="s">
        <v>2641</v>
      </c>
      <c r="D71" s="17" t="s">
        <v>2172</v>
      </c>
      <c r="E71" s="17" t="s">
        <v>2246</v>
      </c>
      <c r="F71" s="17" t="s">
        <v>2375</v>
      </c>
      <c r="G71" s="17" t="s">
        <v>392</v>
      </c>
      <c r="H71" s="17" t="s">
        <v>2642</v>
      </c>
      <c r="I71" s="17" t="s">
        <v>2643</v>
      </c>
    </row>
    <row r="72" customFormat="false" ht="15" hidden="false" customHeight="false" outlineLevel="0" collapsed="false">
      <c r="A72" s="15" t="s">
        <v>2644</v>
      </c>
      <c r="B72" s="16" t="s">
        <v>2645</v>
      </c>
      <c r="C72" s="15" t="s">
        <v>2646</v>
      </c>
      <c r="D72" s="15" t="s">
        <v>2172</v>
      </c>
      <c r="E72" s="15" t="s">
        <v>2647</v>
      </c>
      <c r="F72" s="15" t="s">
        <v>2648</v>
      </c>
      <c r="G72" s="15" t="s">
        <v>2649</v>
      </c>
      <c r="H72" s="15" t="s">
        <v>2650</v>
      </c>
      <c r="I72" s="15" t="s">
        <v>2651</v>
      </c>
    </row>
    <row r="73" customFormat="false" ht="15" hidden="false" customHeight="false" outlineLevel="0" collapsed="false">
      <c r="A73" s="17" t="s">
        <v>2652</v>
      </c>
      <c r="B73" s="18" t="s">
        <v>2653</v>
      </c>
      <c r="C73" s="17" t="s">
        <v>2646</v>
      </c>
      <c r="D73" s="17" t="s">
        <v>2172</v>
      </c>
      <c r="E73" s="17" t="s">
        <v>2654</v>
      </c>
      <c r="F73" s="17" t="s">
        <v>2375</v>
      </c>
      <c r="G73" s="17" t="s">
        <v>348</v>
      </c>
      <c r="H73" s="17" t="s">
        <v>2183</v>
      </c>
      <c r="I73" s="17" t="s">
        <v>2655</v>
      </c>
    </row>
    <row r="74" customFormat="false" ht="15" hidden="false" customHeight="false" outlineLevel="0" collapsed="false">
      <c r="A74" s="15" t="s">
        <v>2656</v>
      </c>
      <c r="B74" s="16" t="s">
        <v>2657</v>
      </c>
      <c r="C74" s="15" t="s">
        <v>2646</v>
      </c>
      <c r="D74" s="15" t="s">
        <v>2172</v>
      </c>
      <c r="E74" s="15" t="s">
        <v>2333</v>
      </c>
      <c r="F74" s="15" t="s">
        <v>2375</v>
      </c>
      <c r="G74" s="15" t="s">
        <v>348</v>
      </c>
      <c r="H74" s="15" t="s">
        <v>2658</v>
      </c>
      <c r="I74" s="15" t="s">
        <v>2659</v>
      </c>
    </row>
    <row r="75" customFormat="false" ht="15" hidden="false" customHeight="false" outlineLevel="0" collapsed="false">
      <c r="A75" s="17" t="s">
        <v>2660</v>
      </c>
      <c r="B75" s="18" t="s">
        <v>2661</v>
      </c>
      <c r="C75" s="17" t="s">
        <v>57</v>
      </c>
      <c r="D75" s="17" t="s">
        <v>2172</v>
      </c>
      <c r="E75" s="17" t="s">
        <v>2662</v>
      </c>
      <c r="F75" s="17" t="s">
        <v>2375</v>
      </c>
      <c r="G75" s="17" t="s">
        <v>348</v>
      </c>
      <c r="H75" s="17" t="s">
        <v>2663</v>
      </c>
      <c r="I75" s="17" t="s">
        <v>2664</v>
      </c>
    </row>
    <row r="76" customFormat="false" ht="15" hidden="false" customHeight="false" outlineLevel="0" collapsed="false">
      <c r="A76" s="15" t="s">
        <v>2665</v>
      </c>
      <c r="B76" s="16" t="s">
        <v>2666</v>
      </c>
      <c r="C76" s="15" t="s">
        <v>57</v>
      </c>
      <c r="D76" s="15" t="s">
        <v>2172</v>
      </c>
      <c r="E76" s="15" t="s">
        <v>2667</v>
      </c>
      <c r="F76" s="15" t="s">
        <v>2479</v>
      </c>
      <c r="G76" s="15" t="s">
        <v>348</v>
      </c>
      <c r="H76" s="15" t="s">
        <v>2668</v>
      </c>
      <c r="I76" s="15" t="s">
        <v>2669</v>
      </c>
    </row>
    <row r="77" customFormat="false" ht="15" hidden="false" customHeight="false" outlineLevel="0" collapsed="false">
      <c r="A77" s="17" t="s">
        <v>2670</v>
      </c>
      <c r="B77" s="18" t="s">
        <v>2671</v>
      </c>
      <c r="C77" s="17" t="s">
        <v>57</v>
      </c>
      <c r="D77" s="17" t="s">
        <v>2172</v>
      </c>
      <c r="E77" s="17" t="s">
        <v>2333</v>
      </c>
      <c r="F77" s="17" t="s">
        <v>2375</v>
      </c>
      <c r="G77" s="17" t="s">
        <v>348</v>
      </c>
      <c r="H77" s="17" t="s">
        <v>2672</v>
      </c>
      <c r="I77" s="17" t="s">
        <v>2673</v>
      </c>
    </row>
    <row r="78" customFormat="false" ht="15" hidden="false" customHeight="false" outlineLevel="0" collapsed="false">
      <c r="A78" s="15" t="s">
        <v>2674</v>
      </c>
      <c r="B78" s="16" t="s">
        <v>2675</v>
      </c>
      <c r="C78" s="15" t="s">
        <v>2676</v>
      </c>
      <c r="D78" s="15" t="s">
        <v>2172</v>
      </c>
      <c r="E78" s="15" t="s">
        <v>2677</v>
      </c>
      <c r="F78" s="15" t="s">
        <v>2678</v>
      </c>
      <c r="G78" s="15" t="s">
        <v>2679</v>
      </c>
      <c r="H78" s="15" t="s">
        <v>2183</v>
      </c>
      <c r="I78" s="15" t="s">
        <v>2680</v>
      </c>
    </row>
    <row r="79" customFormat="false" ht="15" hidden="false" customHeight="false" outlineLevel="0" collapsed="false">
      <c r="A79" s="17" t="s">
        <v>2681</v>
      </c>
      <c r="B79" s="18" t="s">
        <v>2682</v>
      </c>
      <c r="C79" s="17" t="s">
        <v>2683</v>
      </c>
      <c r="D79" s="17" t="s">
        <v>2172</v>
      </c>
      <c r="E79" s="17" t="s">
        <v>2684</v>
      </c>
      <c r="F79" s="17" t="s">
        <v>2685</v>
      </c>
      <c r="G79" s="17" t="s">
        <v>2686</v>
      </c>
      <c r="H79" s="17" t="s">
        <v>2687</v>
      </c>
      <c r="I79" s="17" t="s">
        <v>2688</v>
      </c>
    </row>
    <row r="80" customFormat="false" ht="23.85" hidden="false" customHeight="false" outlineLevel="0" collapsed="false">
      <c r="A80" s="15" t="s">
        <v>2689</v>
      </c>
      <c r="B80" s="16" t="s">
        <v>2690</v>
      </c>
      <c r="C80" s="15" t="s">
        <v>2691</v>
      </c>
      <c r="D80" s="15" t="s">
        <v>2187</v>
      </c>
      <c r="E80" s="15" t="s">
        <v>2692</v>
      </c>
      <c r="F80" s="15" t="s">
        <v>2325</v>
      </c>
      <c r="G80" s="15" t="s">
        <v>2693</v>
      </c>
      <c r="H80" s="15" t="s">
        <v>2694</v>
      </c>
      <c r="I80" s="15" t="s">
        <v>2695</v>
      </c>
    </row>
    <row r="81" customFormat="false" ht="15" hidden="false" customHeight="false" outlineLevel="0" collapsed="false">
      <c r="A81" s="17" t="s">
        <v>2696</v>
      </c>
      <c r="B81" s="18" t="s">
        <v>2697</v>
      </c>
      <c r="C81" s="17" t="s">
        <v>2691</v>
      </c>
      <c r="D81" s="17" t="s">
        <v>2172</v>
      </c>
      <c r="E81" s="17" t="s">
        <v>2698</v>
      </c>
      <c r="F81" s="17" t="s">
        <v>2699</v>
      </c>
      <c r="G81" s="17" t="s">
        <v>2700</v>
      </c>
      <c r="H81" s="17" t="s">
        <v>2701</v>
      </c>
      <c r="I81" s="17" t="s">
        <v>2702</v>
      </c>
    </row>
    <row r="82" customFormat="false" ht="23.85" hidden="false" customHeight="false" outlineLevel="0" collapsed="false">
      <c r="A82" s="15" t="s">
        <v>2703</v>
      </c>
      <c r="B82" s="16" t="s">
        <v>2704</v>
      </c>
      <c r="C82" s="15" t="s">
        <v>2691</v>
      </c>
      <c r="D82" s="15" t="s">
        <v>2172</v>
      </c>
      <c r="E82" s="15" t="s">
        <v>2705</v>
      </c>
      <c r="F82" s="15" t="s">
        <v>2706</v>
      </c>
      <c r="G82" s="15" t="s">
        <v>2707</v>
      </c>
      <c r="H82" s="15" t="s">
        <v>2701</v>
      </c>
      <c r="I82" s="15" t="s">
        <v>2705</v>
      </c>
    </row>
    <row r="83" customFormat="false" ht="15" hidden="false" customHeight="false" outlineLevel="0" collapsed="false">
      <c r="A83" s="17" t="s">
        <v>2708</v>
      </c>
      <c r="B83" s="18" t="s">
        <v>2709</v>
      </c>
      <c r="C83" s="17" t="s">
        <v>2710</v>
      </c>
      <c r="D83" s="17" t="s">
        <v>2711</v>
      </c>
      <c r="E83" s="17" t="s">
        <v>2246</v>
      </c>
      <c r="F83" s="17" t="s">
        <v>2712</v>
      </c>
      <c r="G83" s="17" t="s">
        <v>2713</v>
      </c>
      <c r="H83" s="17" t="s">
        <v>2183</v>
      </c>
      <c r="I83" s="17" t="s">
        <v>2714</v>
      </c>
    </row>
    <row r="84" customFormat="false" ht="15" hidden="false" customHeight="false" outlineLevel="0" collapsed="false">
      <c r="A84" s="15" t="s">
        <v>2715</v>
      </c>
      <c r="B84" s="16" t="s">
        <v>2716</v>
      </c>
      <c r="C84" s="15" t="s">
        <v>2717</v>
      </c>
      <c r="D84" s="15" t="s">
        <v>2187</v>
      </c>
      <c r="E84" s="15" t="s">
        <v>2246</v>
      </c>
      <c r="F84" s="15" t="s">
        <v>2718</v>
      </c>
      <c r="G84" s="15" t="s">
        <v>2719</v>
      </c>
      <c r="H84" s="15" t="s">
        <v>2183</v>
      </c>
      <c r="I84" s="15" t="s">
        <v>2720</v>
      </c>
    </row>
    <row r="85" customFormat="false" ht="23.85" hidden="false" customHeight="false" outlineLevel="0" collapsed="false">
      <c r="A85" s="17" t="s">
        <v>2721</v>
      </c>
      <c r="B85" s="18" t="s">
        <v>2722</v>
      </c>
      <c r="C85" s="17" t="s">
        <v>2723</v>
      </c>
      <c r="D85" s="17" t="s">
        <v>2724</v>
      </c>
      <c r="E85" s="17" t="s">
        <v>2725</v>
      </c>
      <c r="F85" s="17" t="s">
        <v>2726</v>
      </c>
      <c r="G85" s="17" t="s">
        <v>2727</v>
      </c>
      <c r="H85" s="17" t="s">
        <v>2728</v>
      </c>
      <c r="I85" s="17" t="s">
        <v>2729</v>
      </c>
    </row>
    <row r="86" customFormat="false" ht="15" hidden="false" customHeight="false" outlineLevel="0" collapsed="false">
      <c r="A86" s="15" t="s">
        <v>2730</v>
      </c>
      <c r="B86" s="16" t="s">
        <v>2731</v>
      </c>
      <c r="C86" s="15" t="s">
        <v>2732</v>
      </c>
      <c r="D86" s="15" t="s">
        <v>2733</v>
      </c>
      <c r="E86" s="15" t="s">
        <v>2734</v>
      </c>
      <c r="F86" s="15" t="s">
        <v>2735</v>
      </c>
      <c r="G86" s="15" t="s">
        <v>2736</v>
      </c>
      <c r="H86" s="15" t="s">
        <v>173</v>
      </c>
      <c r="I86" s="15" t="s">
        <v>2737</v>
      </c>
    </row>
    <row r="87" customFormat="false" ht="23.85" hidden="false" customHeight="false" outlineLevel="0" collapsed="false">
      <c r="A87" s="17" t="s">
        <v>2738</v>
      </c>
      <c r="B87" s="18" t="s">
        <v>2739</v>
      </c>
      <c r="C87" s="17" t="s">
        <v>2740</v>
      </c>
      <c r="D87" s="17" t="s">
        <v>2741</v>
      </c>
      <c r="E87" s="17" t="s">
        <v>2742</v>
      </c>
      <c r="F87" s="17" t="s">
        <v>2735</v>
      </c>
      <c r="G87" s="17" t="s">
        <v>2743</v>
      </c>
      <c r="H87" s="17" t="s">
        <v>2744</v>
      </c>
      <c r="I87" s="17" t="s">
        <v>2745</v>
      </c>
    </row>
    <row r="88" customFormat="false" ht="15" hidden="false" customHeight="false" outlineLevel="0" collapsed="false">
      <c r="A88" s="15" t="s">
        <v>2746</v>
      </c>
      <c r="B88" s="16" t="s">
        <v>2747</v>
      </c>
      <c r="C88" s="15" t="s">
        <v>2748</v>
      </c>
      <c r="D88" s="15" t="s">
        <v>2749</v>
      </c>
      <c r="E88" s="15" t="s">
        <v>2750</v>
      </c>
      <c r="F88" s="15" t="s">
        <v>2751</v>
      </c>
      <c r="G88" s="15" t="s">
        <v>2752</v>
      </c>
      <c r="H88" s="15" t="s">
        <v>173</v>
      </c>
      <c r="I88" s="15" t="s">
        <v>173</v>
      </c>
    </row>
    <row r="89" customFormat="false" ht="23.85" hidden="false" customHeight="false" outlineLevel="0" collapsed="false">
      <c r="A89" s="17" t="s">
        <v>2753</v>
      </c>
      <c r="B89" s="18" t="s">
        <v>2754</v>
      </c>
      <c r="C89" s="17" t="s">
        <v>2755</v>
      </c>
      <c r="D89" s="17" t="s">
        <v>2756</v>
      </c>
      <c r="E89" s="17" t="s">
        <v>2757</v>
      </c>
      <c r="F89" s="17" t="s">
        <v>2758</v>
      </c>
      <c r="G89" s="17" t="s">
        <v>2759</v>
      </c>
      <c r="H89" s="17" t="s">
        <v>2760</v>
      </c>
      <c r="I89" s="17" t="s">
        <v>173</v>
      </c>
    </row>
    <row r="90" customFormat="false" ht="23.85" hidden="false" customHeight="false" outlineLevel="0" collapsed="false">
      <c r="A90" s="15" t="s">
        <v>2761</v>
      </c>
      <c r="B90" s="16" t="s">
        <v>2762</v>
      </c>
      <c r="C90" s="15" t="s">
        <v>60</v>
      </c>
      <c r="D90" s="15" t="s">
        <v>2756</v>
      </c>
      <c r="E90" s="15" t="s">
        <v>2763</v>
      </c>
      <c r="F90" s="15" t="s">
        <v>2764</v>
      </c>
      <c r="G90" s="15" t="s">
        <v>2765</v>
      </c>
      <c r="H90" s="15" t="s">
        <v>2766</v>
      </c>
      <c r="I90" s="15" t="s">
        <v>2767</v>
      </c>
    </row>
    <row r="91" customFormat="false" ht="23.85" hidden="false" customHeight="false" outlineLevel="0" collapsed="false">
      <c r="A91" s="17" t="s">
        <v>2768</v>
      </c>
      <c r="B91" s="18" t="s">
        <v>2769</v>
      </c>
      <c r="C91" s="17" t="s">
        <v>60</v>
      </c>
      <c r="D91" s="17" t="s">
        <v>2756</v>
      </c>
      <c r="E91" s="17" t="s">
        <v>2770</v>
      </c>
      <c r="F91" s="17" t="s">
        <v>2771</v>
      </c>
      <c r="G91" s="17" t="s">
        <v>2772</v>
      </c>
      <c r="H91" s="17" t="s">
        <v>2773</v>
      </c>
      <c r="I91" s="17" t="s">
        <v>2774</v>
      </c>
    </row>
    <row r="92" customFormat="false" ht="15" hidden="false" customHeight="false" outlineLevel="0" collapsed="false">
      <c r="A92" s="15" t="s">
        <v>2775</v>
      </c>
      <c r="B92" s="16" t="s">
        <v>2776</v>
      </c>
      <c r="C92" s="15" t="s">
        <v>2777</v>
      </c>
      <c r="D92" s="15" t="s">
        <v>2756</v>
      </c>
      <c r="E92" s="15" t="s">
        <v>2778</v>
      </c>
      <c r="F92" s="15" t="s">
        <v>2779</v>
      </c>
      <c r="G92" s="15" t="s">
        <v>2780</v>
      </c>
      <c r="H92" s="15" t="s">
        <v>2781</v>
      </c>
      <c r="I92" s="15" t="s">
        <v>2782</v>
      </c>
    </row>
    <row r="93" customFormat="false" ht="15" hidden="false" customHeight="false" outlineLevel="0" collapsed="false">
      <c r="A93" s="17" t="s">
        <v>2783</v>
      </c>
      <c r="B93" s="18" t="s">
        <v>2784</v>
      </c>
      <c r="C93" s="17" t="s">
        <v>60</v>
      </c>
      <c r="D93" s="17" t="s">
        <v>2756</v>
      </c>
      <c r="E93" s="17" t="s">
        <v>2785</v>
      </c>
      <c r="F93" s="17" t="s">
        <v>2786</v>
      </c>
      <c r="G93" s="17" t="s">
        <v>2787</v>
      </c>
      <c r="H93" s="17" t="s">
        <v>2788</v>
      </c>
      <c r="I93" s="17" t="s">
        <v>2789</v>
      </c>
    </row>
    <row r="94" customFormat="false" ht="15" hidden="false" customHeight="false" outlineLevel="0" collapsed="false">
      <c r="A94" s="15" t="s">
        <v>2790</v>
      </c>
      <c r="B94" s="16" t="s">
        <v>2791</v>
      </c>
      <c r="C94" s="15" t="s">
        <v>2792</v>
      </c>
      <c r="D94" s="15" t="s">
        <v>2756</v>
      </c>
      <c r="E94" s="15" t="s">
        <v>2785</v>
      </c>
      <c r="F94" s="15" t="s">
        <v>2793</v>
      </c>
      <c r="G94" s="15" t="s">
        <v>2772</v>
      </c>
      <c r="H94" s="15" t="s">
        <v>2773</v>
      </c>
      <c r="I94" s="15" t="s">
        <v>2794</v>
      </c>
    </row>
    <row r="95" customFormat="false" ht="23.85" hidden="false" customHeight="false" outlineLevel="0" collapsed="false">
      <c r="A95" s="17" t="s">
        <v>2795</v>
      </c>
      <c r="B95" s="18" t="s">
        <v>2796</v>
      </c>
      <c r="C95" s="17" t="s">
        <v>2797</v>
      </c>
      <c r="D95" s="17" t="s">
        <v>2798</v>
      </c>
      <c r="E95" s="17" t="s">
        <v>2799</v>
      </c>
      <c r="F95" s="17" t="s">
        <v>2800</v>
      </c>
      <c r="G95" s="17" t="s">
        <v>2801</v>
      </c>
      <c r="H95" s="17" t="s">
        <v>2802</v>
      </c>
      <c r="I95" s="17" t="s">
        <v>2803</v>
      </c>
    </row>
    <row r="96" customFormat="false" ht="23.85" hidden="false" customHeight="false" outlineLevel="0" collapsed="false">
      <c r="A96" s="15" t="s">
        <v>2804</v>
      </c>
      <c r="B96" s="16" t="s">
        <v>2805</v>
      </c>
      <c r="C96" s="15" t="s">
        <v>2806</v>
      </c>
      <c r="D96" s="15" t="s">
        <v>2807</v>
      </c>
      <c r="E96" s="15" t="s">
        <v>2808</v>
      </c>
      <c r="F96" s="15" t="s">
        <v>2809</v>
      </c>
      <c r="G96" s="15" t="s">
        <v>2810</v>
      </c>
      <c r="H96" s="15" t="s">
        <v>2802</v>
      </c>
      <c r="I96" s="15" t="s">
        <v>2811</v>
      </c>
    </row>
    <row r="97" customFormat="false" ht="23.85" hidden="false" customHeight="false" outlineLevel="0" collapsed="false">
      <c r="A97" s="17" t="s">
        <v>2812</v>
      </c>
      <c r="B97" s="18" t="s">
        <v>2813</v>
      </c>
      <c r="C97" s="17" t="s">
        <v>2814</v>
      </c>
      <c r="D97" s="17" t="s">
        <v>2302</v>
      </c>
      <c r="E97" s="17" t="s">
        <v>2815</v>
      </c>
      <c r="F97" s="17" t="s">
        <v>2816</v>
      </c>
      <c r="G97" s="17" t="s">
        <v>2817</v>
      </c>
      <c r="H97" s="17" t="s">
        <v>2818</v>
      </c>
      <c r="I97" s="17" t="s">
        <v>2819</v>
      </c>
    </row>
    <row r="98" customFormat="false" ht="15" hidden="false" customHeight="false" outlineLevel="0" collapsed="false">
      <c r="A98" s="15" t="s">
        <v>2820</v>
      </c>
      <c r="B98" s="16" t="s">
        <v>2821</v>
      </c>
      <c r="C98" s="15" t="s">
        <v>2822</v>
      </c>
      <c r="D98" s="15" t="s">
        <v>2504</v>
      </c>
      <c r="E98" s="15" t="s">
        <v>2823</v>
      </c>
      <c r="F98" s="15" t="s">
        <v>2824</v>
      </c>
      <c r="G98" s="15" t="s">
        <v>2825</v>
      </c>
      <c r="H98" s="15" t="s">
        <v>2826</v>
      </c>
      <c r="I98" s="15" t="s">
        <v>2827</v>
      </c>
    </row>
    <row r="99" customFormat="false" ht="23.85" hidden="false" customHeight="false" outlineLevel="0" collapsed="false">
      <c r="A99" s="17" t="s">
        <v>2828</v>
      </c>
      <c r="B99" s="18" t="s">
        <v>2829</v>
      </c>
      <c r="C99" s="17" t="s">
        <v>2830</v>
      </c>
      <c r="D99" s="17" t="s">
        <v>2831</v>
      </c>
      <c r="E99" s="17" t="s">
        <v>2832</v>
      </c>
      <c r="F99" s="17" t="s">
        <v>2833</v>
      </c>
      <c r="G99" s="17" t="s">
        <v>2834</v>
      </c>
      <c r="H99" s="17" t="s">
        <v>2835</v>
      </c>
      <c r="I99" s="17" t="s">
        <v>2836</v>
      </c>
    </row>
    <row r="100" customFormat="false" ht="15" hidden="false" customHeight="false" outlineLevel="0" collapsed="false">
      <c r="A100" s="15" t="s">
        <v>2837</v>
      </c>
      <c r="B100" s="16" t="s">
        <v>2838</v>
      </c>
      <c r="C100" s="15" t="s">
        <v>2217</v>
      </c>
      <c r="D100" s="15" t="s">
        <v>2302</v>
      </c>
      <c r="E100" s="15" t="s">
        <v>2839</v>
      </c>
      <c r="F100" s="15" t="s">
        <v>2840</v>
      </c>
      <c r="G100" s="15" t="s">
        <v>2841</v>
      </c>
      <c r="H100" s="15" t="s">
        <v>2842</v>
      </c>
      <c r="I100" s="15" t="s">
        <v>2843</v>
      </c>
    </row>
    <row r="101" customFormat="false" ht="15" hidden="false" customHeight="false" outlineLevel="0" collapsed="false">
      <c r="A101" s="17" t="s">
        <v>2844</v>
      </c>
      <c r="B101" s="18" t="s">
        <v>2845</v>
      </c>
      <c r="C101" s="17" t="s">
        <v>2846</v>
      </c>
      <c r="D101" s="17" t="s">
        <v>2847</v>
      </c>
      <c r="E101" s="17" t="s">
        <v>2848</v>
      </c>
      <c r="F101" s="17" t="s">
        <v>2849</v>
      </c>
      <c r="G101" s="17" t="s">
        <v>2850</v>
      </c>
      <c r="H101" s="17" t="s">
        <v>2851</v>
      </c>
      <c r="I101" s="17" t="s">
        <v>2852</v>
      </c>
    </row>
    <row r="102" customFormat="false" ht="15" hidden="false" customHeight="false" outlineLevel="0" collapsed="false">
      <c r="A102" s="15" t="s">
        <v>2853</v>
      </c>
      <c r="B102" s="16" t="s">
        <v>2854</v>
      </c>
      <c r="C102" s="15" t="s">
        <v>2855</v>
      </c>
      <c r="D102" s="15" t="s">
        <v>2856</v>
      </c>
      <c r="E102" s="15" t="s">
        <v>2857</v>
      </c>
      <c r="F102" s="15" t="s">
        <v>2858</v>
      </c>
      <c r="G102" s="15" t="s">
        <v>2859</v>
      </c>
      <c r="H102" s="15" t="s">
        <v>2587</v>
      </c>
      <c r="I102" s="15" t="s">
        <v>2860</v>
      </c>
    </row>
    <row r="103" customFormat="false" ht="23.85" hidden="false" customHeight="false" outlineLevel="0" collapsed="false">
      <c r="A103" s="17" t="s">
        <v>2861</v>
      </c>
      <c r="B103" s="18" t="s">
        <v>2862</v>
      </c>
      <c r="C103" s="17" t="s">
        <v>2863</v>
      </c>
      <c r="D103" s="17" t="s">
        <v>2302</v>
      </c>
      <c r="E103" s="17" t="s">
        <v>2864</v>
      </c>
      <c r="F103" s="17" t="s">
        <v>2865</v>
      </c>
      <c r="G103" s="17" t="s">
        <v>2866</v>
      </c>
      <c r="H103" s="17" t="s">
        <v>2867</v>
      </c>
      <c r="I103" s="17" t="s">
        <v>2868</v>
      </c>
    </row>
    <row r="104" customFormat="false" ht="15" hidden="false" customHeight="false" outlineLevel="0" collapsed="false">
      <c r="A104" s="15" t="s">
        <v>2869</v>
      </c>
      <c r="B104" s="16" t="s">
        <v>2870</v>
      </c>
      <c r="C104" s="15" t="s">
        <v>2871</v>
      </c>
      <c r="D104" s="15" t="s">
        <v>2302</v>
      </c>
      <c r="E104" s="15" t="s">
        <v>2872</v>
      </c>
      <c r="F104" s="15" t="s">
        <v>2873</v>
      </c>
      <c r="G104" s="15" t="s">
        <v>2874</v>
      </c>
      <c r="H104" s="15" t="s">
        <v>173</v>
      </c>
      <c r="I104" s="15" t="s">
        <v>2875</v>
      </c>
    </row>
    <row r="105" customFormat="false" ht="23.85" hidden="false" customHeight="false" outlineLevel="0" collapsed="false">
      <c r="A105" s="17" t="s">
        <v>2876</v>
      </c>
      <c r="B105" s="18" t="s">
        <v>2877</v>
      </c>
      <c r="C105" s="17" t="s">
        <v>2878</v>
      </c>
      <c r="D105" s="17" t="s">
        <v>2879</v>
      </c>
      <c r="E105" s="17" t="s">
        <v>2880</v>
      </c>
      <c r="F105" s="17" t="s">
        <v>2881</v>
      </c>
      <c r="G105" s="17" t="s">
        <v>2882</v>
      </c>
      <c r="H105" s="17" t="s">
        <v>2883</v>
      </c>
      <c r="I105" s="17" t="s">
        <v>173</v>
      </c>
    </row>
    <row r="106" customFormat="false" ht="15" hidden="false" customHeight="false" outlineLevel="0" collapsed="false">
      <c r="A106" s="15" t="s">
        <v>2884</v>
      </c>
      <c r="B106" s="16" t="s">
        <v>2885</v>
      </c>
      <c r="C106" s="15" t="s">
        <v>2886</v>
      </c>
      <c r="D106" s="15" t="s">
        <v>2831</v>
      </c>
      <c r="E106" s="15" t="s">
        <v>2887</v>
      </c>
      <c r="F106" s="15" t="s">
        <v>2888</v>
      </c>
      <c r="G106" s="15" t="s">
        <v>1732</v>
      </c>
      <c r="H106" s="15" t="s">
        <v>2889</v>
      </c>
      <c r="I106" s="15" t="s">
        <v>173</v>
      </c>
    </row>
    <row r="107" customFormat="false" ht="35.05" hidden="false" customHeight="false" outlineLevel="0" collapsed="false">
      <c r="A107" s="17" t="s">
        <v>2890</v>
      </c>
      <c r="B107" s="18" t="s">
        <v>2891</v>
      </c>
      <c r="C107" s="17" t="s">
        <v>2892</v>
      </c>
      <c r="D107" s="17" t="s">
        <v>2274</v>
      </c>
      <c r="E107" s="17" t="s">
        <v>2893</v>
      </c>
      <c r="F107" s="17" t="s">
        <v>2894</v>
      </c>
      <c r="G107" s="17" t="s">
        <v>2895</v>
      </c>
      <c r="H107" s="17" t="s">
        <v>2896</v>
      </c>
      <c r="I107" s="17" t="s">
        <v>2897</v>
      </c>
    </row>
    <row r="108" customFormat="false" ht="15" hidden="false" customHeight="false" outlineLevel="0" collapsed="false">
      <c r="A108" s="15" t="s">
        <v>2898</v>
      </c>
      <c r="B108" s="16" t="s">
        <v>2899</v>
      </c>
      <c r="C108" s="15" t="s">
        <v>2886</v>
      </c>
      <c r="D108" s="15" t="s">
        <v>2302</v>
      </c>
      <c r="E108" s="15" t="s">
        <v>2900</v>
      </c>
      <c r="F108" s="15" t="s">
        <v>2901</v>
      </c>
      <c r="G108" s="15" t="s">
        <v>2902</v>
      </c>
      <c r="H108" s="15" t="s">
        <v>173</v>
      </c>
      <c r="I108" s="15" t="s">
        <v>173</v>
      </c>
    </row>
    <row r="109" customFormat="false" ht="15" hidden="false" customHeight="false" outlineLevel="0" collapsed="false">
      <c r="A109" s="17" t="s">
        <v>2903</v>
      </c>
      <c r="B109" s="18" t="s">
        <v>2904</v>
      </c>
      <c r="C109" s="17" t="s">
        <v>2905</v>
      </c>
      <c r="D109" s="17" t="s">
        <v>2302</v>
      </c>
      <c r="E109" s="17" t="s">
        <v>2906</v>
      </c>
      <c r="F109" s="17" t="s">
        <v>2907</v>
      </c>
      <c r="G109" s="17" t="s">
        <v>1013</v>
      </c>
      <c r="H109" s="17" t="s">
        <v>2908</v>
      </c>
      <c r="I109" s="17" t="s">
        <v>2909</v>
      </c>
    </row>
    <row r="110" customFormat="false" ht="23.85" hidden="false" customHeight="false" outlineLevel="0" collapsed="false">
      <c r="A110" s="15" t="s">
        <v>2910</v>
      </c>
      <c r="B110" s="16" t="s">
        <v>2911</v>
      </c>
      <c r="C110" s="15" t="s">
        <v>2912</v>
      </c>
      <c r="D110" s="15" t="s">
        <v>2266</v>
      </c>
      <c r="E110" s="15" t="s">
        <v>2913</v>
      </c>
      <c r="F110" s="15" t="s">
        <v>2914</v>
      </c>
      <c r="G110" s="15" t="s">
        <v>2915</v>
      </c>
      <c r="H110" s="15" t="s">
        <v>2916</v>
      </c>
      <c r="I110" s="15" t="s">
        <v>2917</v>
      </c>
    </row>
    <row r="111" customFormat="false" ht="15" hidden="false" customHeight="false" outlineLevel="0" collapsed="false">
      <c r="A111" s="17" t="s">
        <v>2918</v>
      </c>
      <c r="B111" s="18" t="s">
        <v>2919</v>
      </c>
      <c r="C111" s="17" t="s">
        <v>2920</v>
      </c>
      <c r="D111" s="17" t="s">
        <v>2921</v>
      </c>
      <c r="E111" s="17" t="s">
        <v>2922</v>
      </c>
      <c r="F111" s="17" t="s">
        <v>2923</v>
      </c>
      <c r="G111" s="17" t="s">
        <v>2924</v>
      </c>
      <c r="H111" s="17" t="s">
        <v>2925</v>
      </c>
      <c r="I111" s="17" t="s">
        <v>173</v>
      </c>
    </row>
    <row r="112" customFormat="false" ht="23.85" hidden="false" customHeight="false" outlineLevel="0" collapsed="false">
      <c r="A112" s="15" t="s">
        <v>2926</v>
      </c>
      <c r="B112" s="16" t="s">
        <v>2927</v>
      </c>
      <c r="C112" s="15" t="s">
        <v>2920</v>
      </c>
      <c r="D112" s="15" t="s">
        <v>2928</v>
      </c>
      <c r="E112" s="15" t="s">
        <v>2929</v>
      </c>
      <c r="F112" s="15" t="s">
        <v>2930</v>
      </c>
      <c r="G112" s="15" t="s">
        <v>2931</v>
      </c>
      <c r="H112" s="15" t="s">
        <v>2206</v>
      </c>
      <c r="I112" s="15" t="s">
        <v>173</v>
      </c>
    </row>
    <row r="113" customFormat="false" ht="15" hidden="false" customHeight="false" outlineLevel="0" collapsed="false">
      <c r="A113" s="17" t="s">
        <v>2932</v>
      </c>
      <c r="B113" s="18" t="s">
        <v>2933</v>
      </c>
      <c r="C113" s="17" t="s">
        <v>2934</v>
      </c>
      <c r="D113" s="17" t="s">
        <v>2172</v>
      </c>
      <c r="E113" s="17" t="s">
        <v>2324</v>
      </c>
      <c r="F113" s="17" t="s">
        <v>2935</v>
      </c>
      <c r="G113" s="17" t="s">
        <v>2936</v>
      </c>
      <c r="H113" s="17" t="s">
        <v>173</v>
      </c>
      <c r="I113" s="17" t="s">
        <v>173</v>
      </c>
    </row>
    <row r="114" customFormat="false" ht="15" hidden="false" customHeight="false" outlineLevel="0" collapsed="false">
      <c r="A114" s="15" t="s">
        <v>2937</v>
      </c>
      <c r="B114" s="16" t="s">
        <v>2938</v>
      </c>
      <c r="C114" s="15" t="s">
        <v>2939</v>
      </c>
      <c r="D114" s="15" t="s">
        <v>2172</v>
      </c>
      <c r="E114" s="15" t="s">
        <v>2940</v>
      </c>
      <c r="F114" s="15" t="s">
        <v>2941</v>
      </c>
      <c r="G114" s="15" t="s">
        <v>538</v>
      </c>
      <c r="H114" s="15" t="s">
        <v>2942</v>
      </c>
      <c r="I114" s="15" t="s">
        <v>2943</v>
      </c>
    </row>
    <row r="115" customFormat="false" ht="15" hidden="false" customHeight="false" outlineLevel="0" collapsed="false">
      <c r="A115" s="17" t="s">
        <v>2944</v>
      </c>
      <c r="B115" s="18" t="s">
        <v>2945</v>
      </c>
      <c r="C115" s="17" t="s">
        <v>2946</v>
      </c>
      <c r="D115" s="17" t="s">
        <v>2947</v>
      </c>
      <c r="E115" s="17" t="s">
        <v>173</v>
      </c>
      <c r="F115" s="17" t="s">
        <v>2948</v>
      </c>
      <c r="G115" s="17" t="s">
        <v>2949</v>
      </c>
      <c r="H115" s="17" t="s">
        <v>2950</v>
      </c>
      <c r="I115" s="17" t="s">
        <v>173</v>
      </c>
    </row>
    <row r="116" customFormat="false" ht="23.85" hidden="false" customHeight="false" outlineLevel="0" collapsed="false">
      <c r="A116" s="15" t="s">
        <v>2951</v>
      </c>
      <c r="B116" s="16" t="s">
        <v>2952</v>
      </c>
      <c r="C116" s="15" t="s">
        <v>2953</v>
      </c>
      <c r="D116" s="15" t="s">
        <v>2954</v>
      </c>
      <c r="E116" s="15" t="s">
        <v>2955</v>
      </c>
      <c r="F116" s="15" t="s">
        <v>2956</v>
      </c>
      <c r="G116" s="15" t="s">
        <v>2957</v>
      </c>
      <c r="H116" s="15" t="s">
        <v>2958</v>
      </c>
      <c r="I116" s="15" t="s">
        <v>173</v>
      </c>
    </row>
    <row r="117" customFormat="false" ht="15" hidden="false" customHeight="false" outlineLevel="0" collapsed="false">
      <c r="A117" s="17" t="s">
        <v>2959</v>
      </c>
      <c r="B117" s="18" t="s">
        <v>2960</v>
      </c>
      <c r="C117" s="17" t="s">
        <v>2953</v>
      </c>
      <c r="D117" s="17" t="s">
        <v>2954</v>
      </c>
      <c r="E117" s="17" t="s">
        <v>2961</v>
      </c>
      <c r="F117" s="17" t="s">
        <v>2962</v>
      </c>
      <c r="G117" s="17" t="s">
        <v>2963</v>
      </c>
      <c r="H117" s="17" t="s">
        <v>2964</v>
      </c>
      <c r="I117" s="17" t="s">
        <v>173</v>
      </c>
    </row>
  </sheetData>
  <autoFilter ref="A1:I1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6" min="6" style="0" width="36"/>
    <col collapsed="false" customWidth="true" hidden="false" outlineLevel="0" max="7" min="7" style="0" width="24"/>
  </cols>
  <sheetData>
    <row r="1" customFormat="false" ht="31.5" hidden="false" customHeight="true" outlineLevel="0" collapsed="false">
      <c r="A1" s="14" t="s">
        <v>69</v>
      </c>
      <c r="B1" s="14" t="s">
        <v>2965</v>
      </c>
      <c r="C1" s="14" t="s">
        <v>1488</v>
      </c>
      <c r="D1" s="14" t="s">
        <v>71</v>
      </c>
      <c r="E1" s="14" t="s">
        <v>2966</v>
      </c>
      <c r="F1" s="14" t="s">
        <v>2967</v>
      </c>
      <c r="G1" s="14" t="s">
        <v>2968</v>
      </c>
    </row>
    <row r="2" customFormat="false" ht="23.85" hidden="false" customHeight="false" outlineLevel="0" collapsed="false">
      <c r="A2" s="15" t="s">
        <v>2969</v>
      </c>
      <c r="B2" s="16" t="s">
        <v>2970</v>
      </c>
      <c r="C2" s="15" t="s">
        <v>2971</v>
      </c>
      <c r="D2" s="15" t="s">
        <v>2972</v>
      </c>
      <c r="E2" s="15" t="s">
        <v>2973</v>
      </c>
      <c r="F2" s="15" t="s">
        <v>2974</v>
      </c>
      <c r="G2" s="15" t="s">
        <v>2975</v>
      </c>
    </row>
    <row r="3" customFormat="false" ht="23.85" hidden="false" customHeight="false" outlineLevel="0" collapsed="false">
      <c r="A3" s="17" t="s">
        <v>2976</v>
      </c>
      <c r="B3" s="18" t="s">
        <v>2977</v>
      </c>
      <c r="C3" s="17" t="s">
        <v>2978</v>
      </c>
      <c r="D3" s="17" t="s">
        <v>2972</v>
      </c>
      <c r="E3" s="17" t="s">
        <v>2979</v>
      </c>
      <c r="F3" s="17" t="s">
        <v>2980</v>
      </c>
      <c r="G3" s="17" t="s">
        <v>2981</v>
      </c>
    </row>
    <row r="4" customFormat="false" ht="15" hidden="false" customHeight="false" outlineLevel="0" collapsed="false">
      <c r="A4" s="15" t="s">
        <v>2982</v>
      </c>
      <c r="B4" s="16" t="s">
        <v>2983</v>
      </c>
      <c r="C4" s="15" t="s">
        <v>2984</v>
      </c>
      <c r="D4" s="15" t="s">
        <v>2972</v>
      </c>
      <c r="E4" s="15" t="s">
        <v>2985</v>
      </c>
      <c r="F4" s="15" t="s">
        <v>2986</v>
      </c>
      <c r="G4" s="15" t="s">
        <v>2987</v>
      </c>
    </row>
    <row r="5" customFormat="false" ht="23.85" hidden="false" customHeight="false" outlineLevel="0" collapsed="false">
      <c r="A5" s="17" t="s">
        <v>2988</v>
      </c>
      <c r="B5" s="18" t="s">
        <v>2989</v>
      </c>
      <c r="C5" s="17" t="s">
        <v>2990</v>
      </c>
      <c r="D5" s="17" t="s">
        <v>2972</v>
      </c>
      <c r="E5" s="17" t="s">
        <v>2991</v>
      </c>
      <c r="F5" s="17" t="s">
        <v>2992</v>
      </c>
      <c r="G5" s="17" t="s">
        <v>2993</v>
      </c>
    </row>
    <row r="6" customFormat="false" ht="23.85" hidden="false" customHeight="false" outlineLevel="0" collapsed="false">
      <c r="A6" s="15" t="s">
        <v>2994</v>
      </c>
      <c r="B6" s="16" t="s">
        <v>2995</v>
      </c>
      <c r="C6" s="15"/>
      <c r="D6" s="15" t="s">
        <v>2996</v>
      </c>
      <c r="E6" s="15" t="s">
        <v>2997</v>
      </c>
      <c r="F6" s="15" t="s">
        <v>2998</v>
      </c>
      <c r="G6" s="15" t="s">
        <v>173</v>
      </c>
    </row>
    <row r="7" customFormat="false" ht="15" hidden="false" customHeight="false" outlineLevel="0" collapsed="false">
      <c r="A7" s="17" t="s">
        <v>2999</v>
      </c>
      <c r="B7" s="18" t="s">
        <v>3000</v>
      </c>
      <c r="C7" s="17"/>
      <c r="D7" s="17" t="s">
        <v>2996</v>
      </c>
      <c r="E7" s="17" t="s">
        <v>3001</v>
      </c>
      <c r="F7" s="17" t="s">
        <v>3002</v>
      </c>
      <c r="G7" s="17" t="s">
        <v>173</v>
      </c>
    </row>
    <row r="8" customFormat="false" ht="15" hidden="false" customHeight="false" outlineLevel="0" collapsed="false">
      <c r="A8" s="15" t="s">
        <v>3003</v>
      </c>
      <c r="B8" s="16" t="s">
        <v>3004</v>
      </c>
      <c r="C8" s="15" t="s">
        <v>3005</v>
      </c>
      <c r="D8" s="15" t="s">
        <v>2996</v>
      </c>
      <c r="E8" s="15" t="s">
        <v>3006</v>
      </c>
      <c r="F8" s="15" t="s">
        <v>3007</v>
      </c>
      <c r="G8" s="15" t="s">
        <v>173</v>
      </c>
    </row>
    <row r="9" customFormat="false" ht="15" hidden="false" customHeight="false" outlineLevel="0" collapsed="false">
      <c r="A9" s="17" t="s">
        <v>3008</v>
      </c>
      <c r="B9" s="18" t="s">
        <v>3009</v>
      </c>
      <c r="C9" s="17"/>
      <c r="D9" s="17" t="s">
        <v>2996</v>
      </c>
      <c r="E9" s="17" t="s">
        <v>3010</v>
      </c>
      <c r="F9" s="17" t="s">
        <v>3011</v>
      </c>
      <c r="G9" s="17" t="s">
        <v>173</v>
      </c>
    </row>
    <row r="10" customFormat="false" ht="15" hidden="false" customHeight="false" outlineLevel="0" collapsed="false">
      <c r="A10" s="15" t="s">
        <v>3012</v>
      </c>
      <c r="B10" s="16" t="s">
        <v>3013</v>
      </c>
      <c r="C10" s="15"/>
      <c r="D10" s="15" t="s">
        <v>3014</v>
      </c>
      <c r="E10" s="15" t="s">
        <v>3015</v>
      </c>
      <c r="F10" s="15" t="s">
        <v>2972</v>
      </c>
      <c r="G10" s="15" t="s">
        <v>173</v>
      </c>
    </row>
    <row r="11" customFormat="false" ht="15" hidden="false" customHeight="false" outlineLevel="0" collapsed="false">
      <c r="A11" s="17" t="s">
        <v>3016</v>
      </c>
      <c r="B11" s="18" t="s">
        <v>3017</v>
      </c>
      <c r="C11" s="17" t="s">
        <v>3018</v>
      </c>
      <c r="D11" s="17" t="s">
        <v>3014</v>
      </c>
      <c r="E11" s="17" t="s">
        <v>3019</v>
      </c>
      <c r="F11" s="17" t="s">
        <v>3020</v>
      </c>
      <c r="G11" s="17" t="s">
        <v>173</v>
      </c>
    </row>
    <row r="12" customFormat="false" ht="15" hidden="false" customHeight="false" outlineLevel="0" collapsed="false">
      <c r="A12" s="15" t="s">
        <v>3021</v>
      </c>
      <c r="B12" s="16" t="s">
        <v>3022</v>
      </c>
      <c r="C12" s="15" t="s">
        <v>3023</v>
      </c>
      <c r="D12" s="15" t="s">
        <v>2996</v>
      </c>
      <c r="E12" s="15" t="s">
        <v>3024</v>
      </c>
      <c r="F12" s="15" t="s">
        <v>3025</v>
      </c>
      <c r="G12" s="15" t="s">
        <v>173</v>
      </c>
    </row>
    <row r="13" customFormat="false" ht="15" hidden="false" customHeight="false" outlineLevel="0" collapsed="false">
      <c r="A13" s="17" t="s">
        <v>3026</v>
      </c>
      <c r="B13" s="18" t="s">
        <v>3027</v>
      </c>
      <c r="C13" s="17" t="s">
        <v>3028</v>
      </c>
      <c r="D13" s="17" t="s">
        <v>3029</v>
      </c>
      <c r="E13" s="17" t="s">
        <v>3030</v>
      </c>
      <c r="F13" s="17" t="s">
        <v>3031</v>
      </c>
      <c r="G13" s="17" t="s">
        <v>2987</v>
      </c>
    </row>
    <row r="14" customFormat="false" ht="15" hidden="false" customHeight="false" outlineLevel="0" collapsed="false">
      <c r="A14" s="15" t="s">
        <v>3032</v>
      </c>
      <c r="B14" s="16" t="s">
        <v>3033</v>
      </c>
      <c r="C14" s="15"/>
      <c r="D14" s="15" t="s">
        <v>3029</v>
      </c>
      <c r="E14" s="15" t="s">
        <v>3034</v>
      </c>
      <c r="F14" s="15" t="s">
        <v>176</v>
      </c>
      <c r="G14" s="15" t="s">
        <v>2987</v>
      </c>
    </row>
    <row r="15" customFormat="false" ht="15" hidden="false" customHeight="false" outlineLevel="0" collapsed="false">
      <c r="A15" s="17" t="s">
        <v>3035</v>
      </c>
      <c r="B15" s="18" t="s">
        <v>166</v>
      </c>
      <c r="C15" s="17" t="s">
        <v>3036</v>
      </c>
      <c r="D15" s="17" t="s">
        <v>3037</v>
      </c>
      <c r="E15" s="17" t="s">
        <v>3038</v>
      </c>
      <c r="F15" s="17" t="s">
        <v>3039</v>
      </c>
      <c r="G15" s="17" t="s">
        <v>3040</v>
      </c>
    </row>
    <row r="16" customFormat="false" ht="15" hidden="false" customHeight="false" outlineLevel="0" collapsed="false">
      <c r="A16" s="15" t="s">
        <v>3041</v>
      </c>
      <c r="B16" s="16" t="s">
        <v>3042</v>
      </c>
      <c r="C16" s="15" t="s">
        <v>3043</v>
      </c>
      <c r="D16" s="15" t="s">
        <v>3037</v>
      </c>
      <c r="E16" s="15" t="s">
        <v>3044</v>
      </c>
      <c r="F16" s="15" t="s">
        <v>3045</v>
      </c>
      <c r="G16" s="15" t="s">
        <v>3046</v>
      </c>
    </row>
    <row r="17" customFormat="false" ht="15" hidden="false" customHeight="false" outlineLevel="0" collapsed="false">
      <c r="A17" s="17" t="s">
        <v>3047</v>
      </c>
      <c r="B17" s="18" t="s">
        <v>3048</v>
      </c>
      <c r="C17" s="17" t="s">
        <v>3049</v>
      </c>
      <c r="D17" s="17" t="s">
        <v>3037</v>
      </c>
      <c r="E17" s="17" t="s">
        <v>3050</v>
      </c>
      <c r="F17" s="17" t="s">
        <v>2411</v>
      </c>
      <c r="G17" s="17" t="s">
        <v>3046</v>
      </c>
    </row>
    <row r="18" customFormat="false" ht="23.85" hidden="false" customHeight="false" outlineLevel="0" collapsed="false">
      <c r="A18" s="15" t="s">
        <v>3051</v>
      </c>
      <c r="B18" s="16" t="s">
        <v>3052</v>
      </c>
      <c r="C18" s="15" t="s">
        <v>3053</v>
      </c>
      <c r="D18" s="15" t="s">
        <v>3054</v>
      </c>
      <c r="E18" s="15" t="s">
        <v>3055</v>
      </c>
      <c r="F18" s="15" t="s">
        <v>3056</v>
      </c>
      <c r="G18" s="15" t="s">
        <v>2987</v>
      </c>
    </row>
    <row r="19" customFormat="false" ht="23.85" hidden="false" customHeight="false" outlineLevel="0" collapsed="false">
      <c r="A19" s="17" t="s">
        <v>3057</v>
      </c>
      <c r="B19" s="18" t="s">
        <v>3058</v>
      </c>
      <c r="C19" s="17" t="s">
        <v>3059</v>
      </c>
      <c r="D19" s="17" t="s">
        <v>3054</v>
      </c>
      <c r="E19" s="17" t="s">
        <v>3060</v>
      </c>
      <c r="F19" s="17" t="s">
        <v>3061</v>
      </c>
      <c r="G19" s="17" t="s">
        <v>2987</v>
      </c>
    </row>
    <row r="20" customFormat="false" ht="23.85" hidden="false" customHeight="false" outlineLevel="0" collapsed="false">
      <c r="A20" s="15" t="s">
        <v>3062</v>
      </c>
      <c r="B20" s="16" t="s">
        <v>3063</v>
      </c>
      <c r="C20" s="15" t="s">
        <v>3064</v>
      </c>
      <c r="D20" s="15" t="s">
        <v>3054</v>
      </c>
      <c r="E20" s="15" t="s">
        <v>3065</v>
      </c>
      <c r="F20" s="15" t="s">
        <v>3066</v>
      </c>
      <c r="G20" s="15" t="s">
        <v>2993</v>
      </c>
    </row>
    <row r="21" customFormat="false" ht="15" hidden="false" customHeight="false" outlineLevel="0" collapsed="false">
      <c r="A21" s="17" t="s">
        <v>3067</v>
      </c>
      <c r="B21" s="18" t="s">
        <v>3068</v>
      </c>
      <c r="C21" s="17" t="s">
        <v>3069</v>
      </c>
      <c r="D21" s="17" t="s">
        <v>3070</v>
      </c>
      <c r="E21" s="17" t="s">
        <v>3071</v>
      </c>
      <c r="F21" s="17" t="s">
        <v>3072</v>
      </c>
      <c r="G21" s="17" t="s">
        <v>2987</v>
      </c>
    </row>
    <row r="22" customFormat="false" ht="23.85" hidden="false" customHeight="false" outlineLevel="0" collapsed="false">
      <c r="A22" s="15" t="s">
        <v>3073</v>
      </c>
      <c r="B22" s="16" t="s">
        <v>3074</v>
      </c>
      <c r="C22" s="15" t="s">
        <v>173</v>
      </c>
      <c r="D22" s="15" t="s">
        <v>3075</v>
      </c>
      <c r="E22" s="15" t="s">
        <v>3076</v>
      </c>
      <c r="F22" s="15" t="s">
        <v>296</v>
      </c>
      <c r="G22" s="15" t="s">
        <v>3077</v>
      </c>
    </row>
    <row r="23" customFormat="false" ht="15" hidden="false" customHeight="false" outlineLevel="0" collapsed="false">
      <c r="A23" s="17" t="s">
        <v>3078</v>
      </c>
      <c r="B23" s="18" t="s">
        <v>3079</v>
      </c>
      <c r="C23" s="17" t="s">
        <v>3080</v>
      </c>
      <c r="D23" s="17" t="s">
        <v>3081</v>
      </c>
      <c r="E23" s="17" t="s">
        <v>3082</v>
      </c>
      <c r="F23" s="17" t="s">
        <v>3083</v>
      </c>
      <c r="G23" s="17" t="s">
        <v>3084</v>
      </c>
    </row>
    <row r="24" customFormat="false" ht="15" hidden="false" customHeight="false" outlineLevel="0" collapsed="false">
      <c r="A24" s="15" t="s">
        <v>3085</v>
      </c>
      <c r="B24" s="16" t="s">
        <v>3086</v>
      </c>
      <c r="C24" s="15" t="s">
        <v>3087</v>
      </c>
      <c r="D24" s="15" t="s">
        <v>3081</v>
      </c>
      <c r="E24" s="15" t="s">
        <v>3088</v>
      </c>
      <c r="F24" s="15" t="s">
        <v>3089</v>
      </c>
      <c r="G24" s="15" t="s">
        <v>2993</v>
      </c>
    </row>
    <row r="25" customFormat="false" ht="15" hidden="false" customHeight="false" outlineLevel="0" collapsed="false">
      <c r="A25" s="17" t="s">
        <v>3090</v>
      </c>
      <c r="B25" s="18" t="s">
        <v>3091</v>
      </c>
      <c r="C25" s="17" t="s">
        <v>3092</v>
      </c>
      <c r="D25" s="17" t="s">
        <v>3081</v>
      </c>
      <c r="E25" s="17" t="s">
        <v>3093</v>
      </c>
      <c r="F25" s="17" t="s">
        <v>3094</v>
      </c>
      <c r="G25" s="17" t="s">
        <v>2993</v>
      </c>
    </row>
    <row r="26" customFormat="false" ht="15" hidden="false" customHeight="false" outlineLevel="0" collapsed="false">
      <c r="A26" s="15" t="s">
        <v>3095</v>
      </c>
      <c r="B26" s="16" t="s">
        <v>3096</v>
      </c>
      <c r="C26" s="15" t="s">
        <v>3097</v>
      </c>
      <c r="D26" s="15" t="s">
        <v>3081</v>
      </c>
      <c r="E26" s="15" t="s">
        <v>3098</v>
      </c>
      <c r="F26" s="15" t="s">
        <v>3099</v>
      </c>
      <c r="G26" s="15" t="s">
        <v>2993</v>
      </c>
    </row>
    <row r="27" customFormat="false" ht="15" hidden="false" customHeight="false" outlineLevel="0" collapsed="false">
      <c r="A27" s="17" t="s">
        <v>3100</v>
      </c>
      <c r="B27" s="18" t="s">
        <v>3101</v>
      </c>
      <c r="C27" s="17" t="s">
        <v>3102</v>
      </c>
      <c r="D27" s="17" t="s">
        <v>3081</v>
      </c>
      <c r="E27" s="17" t="s">
        <v>3103</v>
      </c>
      <c r="F27" s="17" t="s">
        <v>3104</v>
      </c>
      <c r="G27" s="17" t="s">
        <v>2993</v>
      </c>
    </row>
    <row r="28" customFormat="false" ht="15" hidden="false" customHeight="false" outlineLevel="0" collapsed="false">
      <c r="A28" s="15" t="s">
        <v>3105</v>
      </c>
      <c r="B28" s="16" t="s">
        <v>3106</v>
      </c>
      <c r="C28" s="15" t="s">
        <v>3107</v>
      </c>
      <c r="D28" s="15" t="s">
        <v>3108</v>
      </c>
      <c r="E28" s="15" t="s">
        <v>3109</v>
      </c>
      <c r="F28" s="15" t="s">
        <v>3110</v>
      </c>
      <c r="G28" s="15" t="s">
        <v>2993</v>
      </c>
    </row>
    <row r="29" customFormat="false" ht="23.85" hidden="false" customHeight="false" outlineLevel="0" collapsed="false">
      <c r="A29" s="17" t="s">
        <v>3111</v>
      </c>
      <c r="B29" s="18" t="s">
        <v>3112</v>
      </c>
      <c r="C29" s="17" t="s">
        <v>3113</v>
      </c>
      <c r="D29" s="17" t="s">
        <v>3114</v>
      </c>
      <c r="E29" s="17" t="s">
        <v>3115</v>
      </c>
      <c r="F29" s="17" t="s">
        <v>3116</v>
      </c>
      <c r="G29" s="17" t="s">
        <v>3117</v>
      </c>
    </row>
    <row r="30" customFormat="false" ht="15" hidden="false" customHeight="false" outlineLevel="0" collapsed="false">
      <c r="A30" s="15" t="s">
        <v>3118</v>
      </c>
      <c r="B30" s="16" t="s">
        <v>3119</v>
      </c>
      <c r="C30" s="15" t="s">
        <v>3120</v>
      </c>
      <c r="D30" s="15" t="s">
        <v>3114</v>
      </c>
      <c r="E30" s="15" t="s">
        <v>3121</v>
      </c>
      <c r="F30" s="15" t="s">
        <v>3122</v>
      </c>
      <c r="G30" s="15" t="s">
        <v>3117</v>
      </c>
    </row>
    <row r="31" customFormat="false" ht="15" hidden="false" customHeight="false" outlineLevel="0" collapsed="false">
      <c r="A31" s="17" t="s">
        <v>3123</v>
      </c>
      <c r="B31" s="18" t="s">
        <v>3124</v>
      </c>
      <c r="C31" s="17" t="s">
        <v>3125</v>
      </c>
      <c r="D31" s="17" t="s">
        <v>3114</v>
      </c>
      <c r="E31" s="17" t="s">
        <v>3126</v>
      </c>
      <c r="F31" s="17" t="s">
        <v>3127</v>
      </c>
      <c r="G31" s="17" t="s">
        <v>2987</v>
      </c>
    </row>
    <row r="32" customFormat="false" ht="15" hidden="false" customHeight="false" outlineLevel="0" collapsed="false">
      <c r="A32" s="15" t="s">
        <v>3128</v>
      </c>
      <c r="B32" s="16" t="s">
        <v>3129</v>
      </c>
      <c r="C32" s="15" t="s">
        <v>3130</v>
      </c>
      <c r="D32" s="15" t="s">
        <v>3114</v>
      </c>
      <c r="E32" s="15" t="s">
        <v>3131</v>
      </c>
      <c r="F32" s="15" t="s">
        <v>3132</v>
      </c>
      <c r="G32" s="15" t="s">
        <v>2987</v>
      </c>
    </row>
    <row r="33" customFormat="false" ht="15" hidden="false" customHeight="false" outlineLevel="0" collapsed="false">
      <c r="A33" s="17" t="s">
        <v>3133</v>
      </c>
      <c r="B33" s="18" t="s">
        <v>3134</v>
      </c>
      <c r="C33" s="17" t="s">
        <v>3135</v>
      </c>
      <c r="D33" s="17" t="s">
        <v>3108</v>
      </c>
      <c r="E33" s="17" t="s">
        <v>3136</v>
      </c>
      <c r="F33" s="17" t="s">
        <v>3137</v>
      </c>
      <c r="G33" s="17" t="s">
        <v>2993</v>
      </c>
    </row>
    <row r="34" customFormat="false" ht="23.85" hidden="false" customHeight="false" outlineLevel="0" collapsed="false">
      <c r="A34" s="15" t="s">
        <v>3138</v>
      </c>
      <c r="B34" s="16" t="s">
        <v>3139</v>
      </c>
      <c r="C34" s="15" t="s">
        <v>3140</v>
      </c>
      <c r="D34" s="15" t="s">
        <v>3108</v>
      </c>
      <c r="E34" s="15" t="s">
        <v>3141</v>
      </c>
      <c r="F34" s="15" t="s">
        <v>3142</v>
      </c>
      <c r="G34" s="15" t="s">
        <v>3046</v>
      </c>
    </row>
    <row r="35" customFormat="false" ht="23.85" hidden="false" customHeight="false" outlineLevel="0" collapsed="false">
      <c r="A35" s="17" t="s">
        <v>3143</v>
      </c>
      <c r="B35" s="18" t="s">
        <v>3144</v>
      </c>
      <c r="C35" s="17" t="s">
        <v>3145</v>
      </c>
      <c r="D35" s="17" t="s">
        <v>3146</v>
      </c>
      <c r="E35" s="17" t="s">
        <v>3147</v>
      </c>
      <c r="F35" s="17" t="s">
        <v>3148</v>
      </c>
      <c r="G35" s="17" t="s">
        <v>3149</v>
      </c>
    </row>
    <row r="36" customFormat="false" ht="23.85" hidden="false" customHeight="false" outlineLevel="0" collapsed="false">
      <c r="A36" s="15" t="s">
        <v>3150</v>
      </c>
      <c r="B36" s="16" t="s">
        <v>3151</v>
      </c>
      <c r="C36" s="15" t="s">
        <v>3152</v>
      </c>
      <c r="D36" s="15" t="s">
        <v>3146</v>
      </c>
      <c r="E36" s="15" t="s">
        <v>3153</v>
      </c>
      <c r="F36" s="15" t="s">
        <v>407</v>
      </c>
      <c r="G36" s="15" t="s">
        <v>3149</v>
      </c>
    </row>
    <row r="37" customFormat="false" ht="15" hidden="false" customHeight="false" outlineLevel="0" collapsed="false">
      <c r="A37" s="17" t="s">
        <v>3154</v>
      </c>
      <c r="B37" s="18" t="s">
        <v>3155</v>
      </c>
      <c r="C37" s="17" t="s">
        <v>3156</v>
      </c>
      <c r="D37" s="17" t="s">
        <v>3157</v>
      </c>
      <c r="E37" s="17" t="s">
        <v>3158</v>
      </c>
      <c r="F37" s="17" t="s">
        <v>3159</v>
      </c>
      <c r="G37" s="17" t="s">
        <v>3046</v>
      </c>
    </row>
    <row r="38" customFormat="false" ht="15" hidden="false" customHeight="false" outlineLevel="0" collapsed="false">
      <c r="A38" s="15" t="s">
        <v>3160</v>
      </c>
      <c r="B38" s="16" t="s">
        <v>3161</v>
      </c>
      <c r="C38" s="15" t="s">
        <v>3162</v>
      </c>
      <c r="D38" s="15" t="s">
        <v>3163</v>
      </c>
      <c r="E38" s="15" t="s">
        <v>3164</v>
      </c>
      <c r="F38" s="15" t="s">
        <v>586</v>
      </c>
      <c r="G38" s="15" t="s">
        <v>3165</v>
      </c>
    </row>
    <row r="39" customFormat="false" ht="15" hidden="false" customHeight="false" outlineLevel="0" collapsed="false">
      <c r="A39" s="17" t="s">
        <v>3166</v>
      </c>
      <c r="B39" s="18" t="s">
        <v>3167</v>
      </c>
      <c r="C39" s="17" t="s">
        <v>173</v>
      </c>
      <c r="D39" s="17" t="s">
        <v>3163</v>
      </c>
      <c r="E39" s="17" t="s">
        <v>3168</v>
      </c>
      <c r="F39" s="17" t="s">
        <v>639</v>
      </c>
      <c r="G39" s="17" t="s">
        <v>3169</v>
      </c>
    </row>
    <row r="40" customFormat="false" ht="23.85" hidden="false" customHeight="false" outlineLevel="0" collapsed="false">
      <c r="A40" s="15" t="s">
        <v>3170</v>
      </c>
      <c r="B40" s="16" t="s">
        <v>3171</v>
      </c>
      <c r="C40" s="15" t="s">
        <v>3172</v>
      </c>
      <c r="D40" s="15" t="s">
        <v>3173</v>
      </c>
      <c r="E40" s="15" t="s">
        <v>3174</v>
      </c>
      <c r="F40" s="15" t="s">
        <v>609</v>
      </c>
      <c r="G40" s="15" t="s">
        <v>3175</v>
      </c>
    </row>
    <row r="41" customFormat="false" ht="23.85" hidden="false" customHeight="false" outlineLevel="0" collapsed="false">
      <c r="A41" s="17" t="s">
        <v>3176</v>
      </c>
      <c r="B41" s="18" t="s">
        <v>3177</v>
      </c>
      <c r="C41" s="17" t="s">
        <v>3178</v>
      </c>
      <c r="D41" s="17" t="s">
        <v>3173</v>
      </c>
      <c r="E41" s="17" t="s">
        <v>3179</v>
      </c>
      <c r="F41" s="17" t="s">
        <v>3180</v>
      </c>
      <c r="G41" s="17" t="s">
        <v>3181</v>
      </c>
    </row>
    <row r="42" customFormat="false" ht="15" hidden="false" customHeight="false" outlineLevel="0" collapsed="false">
      <c r="A42" s="15" t="s">
        <v>3182</v>
      </c>
      <c r="B42" s="16" t="s">
        <v>651</v>
      </c>
      <c r="C42" s="15" t="s">
        <v>173</v>
      </c>
      <c r="D42" s="15" t="s">
        <v>3173</v>
      </c>
      <c r="E42" s="15" t="s">
        <v>3183</v>
      </c>
      <c r="F42" s="15" t="s">
        <v>646</v>
      </c>
      <c r="G42" s="15" t="s">
        <v>3181</v>
      </c>
    </row>
    <row r="43" customFormat="false" ht="15" hidden="false" customHeight="false" outlineLevel="0" collapsed="false">
      <c r="A43" s="17" t="s">
        <v>3184</v>
      </c>
      <c r="B43" s="18" t="s">
        <v>3185</v>
      </c>
      <c r="C43" s="17" t="s">
        <v>173</v>
      </c>
      <c r="D43" s="17" t="s">
        <v>3173</v>
      </c>
      <c r="E43" s="17" t="s">
        <v>3186</v>
      </c>
      <c r="F43" s="17" t="s">
        <v>3187</v>
      </c>
      <c r="G43" s="17" t="s">
        <v>3181</v>
      </c>
    </row>
    <row r="44" customFormat="false" ht="15" hidden="false" customHeight="false" outlineLevel="0" collapsed="false">
      <c r="A44" s="15" t="s">
        <v>3188</v>
      </c>
      <c r="B44" s="16" t="s">
        <v>3189</v>
      </c>
      <c r="C44" s="15" t="s">
        <v>3190</v>
      </c>
      <c r="D44" s="15" t="s">
        <v>3191</v>
      </c>
      <c r="E44" s="15" t="s">
        <v>3192</v>
      </c>
      <c r="F44" s="15" t="s">
        <v>3193</v>
      </c>
      <c r="G44" s="15" t="s">
        <v>3175</v>
      </c>
    </row>
    <row r="45" customFormat="false" ht="15" hidden="false" customHeight="false" outlineLevel="0" collapsed="false">
      <c r="A45" s="17" t="s">
        <v>3194</v>
      </c>
      <c r="B45" s="18" t="s">
        <v>3195</v>
      </c>
      <c r="C45" s="17" t="s">
        <v>3196</v>
      </c>
      <c r="D45" s="17" t="s">
        <v>3191</v>
      </c>
      <c r="E45" s="17" t="s">
        <v>3197</v>
      </c>
      <c r="F45" s="17" t="s">
        <v>3198</v>
      </c>
      <c r="G45" s="17" t="s">
        <v>3181</v>
      </c>
    </row>
    <row r="46" customFormat="false" ht="15" hidden="false" customHeight="false" outlineLevel="0" collapsed="false">
      <c r="A46" s="15" t="s">
        <v>3199</v>
      </c>
      <c r="B46" s="16" t="s">
        <v>3200</v>
      </c>
      <c r="C46" s="15" t="s">
        <v>173</v>
      </c>
      <c r="D46" s="15" t="s">
        <v>3201</v>
      </c>
      <c r="E46" s="15" t="s">
        <v>3202</v>
      </c>
      <c r="F46" s="15" t="s">
        <v>698</v>
      </c>
      <c r="G46" s="15" t="s">
        <v>3203</v>
      </c>
    </row>
    <row r="47" customFormat="false" ht="15" hidden="false" customHeight="false" outlineLevel="0" collapsed="false">
      <c r="A47" s="17" t="s">
        <v>3204</v>
      </c>
      <c r="B47" s="18" t="s">
        <v>3205</v>
      </c>
      <c r="C47" s="17"/>
      <c r="D47" s="17" t="s">
        <v>3201</v>
      </c>
      <c r="E47" s="17" t="s">
        <v>3206</v>
      </c>
      <c r="F47" s="17" t="s">
        <v>3207</v>
      </c>
      <c r="G47" s="17" t="s">
        <v>3169</v>
      </c>
    </row>
    <row r="48" customFormat="false" ht="23.85" hidden="false" customHeight="false" outlineLevel="0" collapsed="false">
      <c r="A48" s="15" t="s">
        <v>3208</v>
      </c>
      <c r="B48" s="16" t="s">
        <v>3209</v>
      </c>
      <c r="C48" s="15" t="s">
        <v>3210</v>
      </c>
      <c r="D48" s="15" t="s">
        <v>3211</v>
      </c>
      <c r="E48" s="15" t="s">
        <v>3212</v>
      </c>
      <c r="F48" s="15" t="s">
        <v>3213</v>
      </c>
      <c r="G48" s="15" t="s">
        <v>3214</v>
      </c>
    </row>
    <row r="49" customFormat="false" ht="15" hidden="false" customHeight="false" outlineLevel="0" collapsed="false">
      <c r="A49" s="17" t="s">
        <v>3215</v>
      </c>
      <c r="B49" s="18" t="s">
        <v>3216</v>
      </c>
      <c r="C49" s="17" t="s">
        <v>3217</v>
      </c>
      <c r="D49" s="17" t="s">
        <v>3211</v>
      </c>
      <c r="E49" s="17" t="s">
        <v>3218</v>
      </c>
      <c r="F49" s="17" t="s">
        <v>3219</v>
      </c>
      <c r="G49" s="17" t="s">
        <v>3046</v>
      </c>
    </row>
    <row r="50" customFormat="false" ht="15" hidden="false" customHeight="false" outlineLevel="0" collapsed="false">
      <c r="A50" s="15" t="s">
        <v>3220</v>
      </c>
      <c r="B50" s="16" t="s">
        <v>3221</v>
      </c>
      <c r="C50" s="15" t="s">
        <v>3222</v>
      </c>
      <c r="D50" s="15" t="s">
        <v>3211</v>
      </c>
      <c r="E50" s="15" t="s">
        <v>3223</v>
      </c>
      <c r="F50" s="15" t="s">
        <v>3224</v>
      </c>
      <c r="G50" s="15" t="s">
        <v>3046</v>
      </c>
    </row>
    <row r="51" customFormat="false" ht="15" hidden="false" customHeight="false" outlineLevel="0" collapsed="false">
      <c r="A51" s="17" t="s">
        <v>3225</v>
      </c>
      <c r="B51" s="18" t="s">
        <v>2756</v>
      </c>
      <c r="C51" s="17" t="s">
        <v>3226</v>
      </c>
      <c r="D51" s="17" t="s">
        <v>3227</v>
      </c>
      <c r="E51" s="17" t="s">
        <v>3228</v>
      </c>
      <c r="F51" s="17" t="s">
        <v>3229</v>
      </c>
      <c r="G51" s="17" t="s">
        <v>3230</v>
      </c>
    </row>
    <row r="52" customFormat="false" ht="23.85" hidden="false" customHeight="false" outlineLevel="0" collapsed="false">
      <c r="A52" s="15" t="s">
        <v>3231</v>
      </c>
      <c r="B52" s="16" t="s">
        <v>3232</v>
      </c>
      <c r="C52" s="15" t="s">
        <v>3233</v>
      </c>
      <c r="D52" s="15" t="s">
        <v>3234</v>
      </c>
      <c r="E52" s="15" t="s">
        <v>3235</v>
      </c>
      <c r="F52" s="15" t="s">
        <v>3236</v>
      </c>
      <c r="G52" s="15" t="s">
        <v>3117</v>
      </c>
    </row>
    <row r="53" customFormat="false" ht="15" hidden="false" customHeight="false" outlineLevel="0" collapsed="false">
      <c r="A53" s="17" t="s">
        <v>3237</v>
      </c>
      <c r="B53" s="18" t="s">
        <v>3238</v>
      </c>
      <c r="C53" s="17" t="s">
        <v>3239</v>
      </c>
      <c r="D53" s="17" t="s">
        <v>3234</v>
      </c>
      <c r="E53" s="17" t="s">
        <v>3240</v>
      </c>
      <c r="F53" s="17" t="s">
        <v>3241</v>
      </c>
      <c r="G53" s="17" t="s">
        <v>3117</v>
      </c>
    </row>
    <row r="54" customFormat="false" ht="15" hidden="false" customHeight="false" outlineLevel="0" collapsed="false">
      <c r="A54" s="15" t="s">
        <v>3242</v>
      </c>
      <c r="B54" s="16" t="s">
        <v>3243</v>
      </c>
      <c r="C54" s="15" t="s">
        <v>173</v>
      </c>
      <c r="D54" s="15" t="s">
        <v>3227</v>
      </c>
      <c r="E54" s="15" t="s">
        <v>3244</v>
      </c>
      <c r="F54" s="15" t="s">
        <v>3245</v>
      </c>
      <c r="G54" s="15" t="s">
        <v>3046</v>
      </c>
    </row>
    <row r="55" customFormat="false" ht="15" hidden="false" customHeight="false" outlineLevel="0" collapsed="false">
      <c r="A55" s="17" t="s">
        <v>3246</v>
      </c>
      <c r="B55" s="18" t="s">
        <v>3247</v>
      </c>
      <c r="C55" s="17" t="s">
        <v>3248</v>
      </c>
      <c r="D55" s="17" t="s">
        <v>3234</v>
      </c>
      <c r="E55" s="17" t="s">
        <v>3249</v>
      </c>
      <c r="F55" s="17" t="s">
        <v>3250</v>
      </c>
      <c r="G55" s="17" t="s">
        <v>2987</v>
      </c>
    </row>
    <row r="56" customFormat="false" ht="15" hidden="false" customHeight="false" outlineLevel="0" collapsed="false">
      <c r="A56" s="15" t="s">
        <v>3251</v>
      </c>
      <c r="B56" s="16" t="s">
        <v>3252</v>
      </c>
      <c r="C56" s="15" t="s">
        <v>3253</v>
      </c>
      <c r="D56" s="15" t="s">
        <v>3211</v>
      </c>
      <c r="E56" s="15" t="s">
        <v>3254</v>
      </c>
      <c r="F56" s="15" t="s">
        <v>3255</v>
      </c>
      <c r="G56" s="15" t="s">
        <v>3169</v>
      </c>
    </row>
    <row r="57" customFormat="false" ht="15" hidden="false" customHeight="false" outlineLevel="0" collapsed="false">
      <c r="A57" s="17" t="s">
        <v>3256</v>
      </c>
      <c r="B57" s="18" t="s">
        <v>3257</v>
      </c>
      <c r="C57" s="17" t="s">
        <v>3258</v>
      </c>
      <c r="D57" s="17" t="s">
        <v>3259</v>
      </c>
      <c r="E57" s="17" t="s">
        <v>3260</v>
      </c>
      <c r="F57" s="17" t="s">
        <v>3261</v>
      </c>
      <c r="G57" s="17" t="s">
        <v>3262</v>
      </c>
    </row>
    <row r="58" customFormat="false" ht="15" hidden="false" customHeight="false" outlineLevel="0" collapsed="false">
      <c r="A58" s="15" t="s">
        <v>3263</v>
      </c>
      <c r="B58" s="16" t="s">
        <v>3264</v>
      </c>
      <c r="C58" s="15" t="s">
        <v>3265</v>
      </c>
      <c r="D58" s="15" t="s">
        <v>3266</v>
      </c>
      <c r="E58" s="15" t="s">
        <v>3267</v>
      </c>
      <c r="F58" s="15" t="s">
        <v>1048</v>
      </c>
      <c r="G58" s="15" t="s">
        <v>3268</v>
      </c>
    </row>
    <row r="59" customFormat="false" ht="15" hidden="false" customHeight="false" outlineLevel="0" collapsed="false">
      <c r="A59" s="17" t="s">
        <v>3269</v>
      </c>
      <c r="B59" s="18" t="s">
        <v>3270</v>
      </c>
      <c r="C59" s="17" t="s">
        <v>173</v>
      </c>
      <c r="D59" s="17" t="s">
        <v>3271</v>
      </c>
      <c r="E59" s="17" t="s">
        <v>3272</v>
      </c>
      <c r="F59" s="17" t="s">
        <v>3273</v>
      </c>
      <c r="G59" s="17" t="s">
        <v>3274</v>
      </c>
    </row>
    <row r="60" customFormat="false" ht="23.85" hidden="false" customHeight="false" outlineLevel="0" collapsed="false">
      <c r="A60" s="15" t="s">
        <v>3275</v>
      </c>
      <c r="B60" s="16" t="s">
        <v>3276</v>
      </c>
      <c r="C60" s="15" t="s">
        <v>173</v>
      </c>
      <c r="D60" s="15" t="s">
        <v>3271</v>
      </c>
      <c r="E60" s="15" t="s">
        <v>3277</v>
      </c>
      <c r="F60" s="15" t="s">
        <v>3278</v>
      </c>
      <c r="G60" s="15" t="s">
        <v>3279</v>
      </c>
    </row>
    <row r="61" customFormat="false" ht="15" hidden="false" customHeight="false" outlineLevel="0" collapsed="false">
      <c r="A61" s="17" t="s">
        <v>3280</v>
      </c>
      <c r="B61" s="18" t="s">
        <v>3281</v>
      </c>
      <c r="C61" s="17" t="s">
        <v>173</v>
      </c>
      <c r="D61" s="17" t="s">
        <v>3271</v>
      </c>
      <c r="E61" s="17" t="s">
        <v>3282</v>
      </c>
      <c r="F61" s="17" t="s">
        <v>3283</v>
      </c>
      <c r="G61" s="17" t="s">
        <v>3274</v>
      </c>
    </row>
    <row r="62" customFormat="false" ht="23.85" hidden="false" customHeight="false" outlineLevel="0" collapsed="false">
      <c r="A62" s="15" t="s">
        <v>3284</v>
      </c>
      <c r="B62" s="16" t="s">
        <v>3285</v>
      </c>
      <c r="C62" s="15" t="s">
        <v>3286</v>
      </c>
      <c r="D62" s="15" t="s">
        <v>3287</v>
      </c>
      <c r="E62" s="15" t="s">
        <v>3288</v>
      </c>
      <c r="F62" s="15" t="s">
        <v>3289</v>
      </c>
      <c r="G62" s="15" t="s">
        <v>3290</v>
      </c>
    </row>
    <row r="63" customFormat="false" ht="23.85" hidden="false" customHeight="false" outlineLevel="0" collapsed="false">
      <c r="A63" s="17" t="s">
        <v>3291</v>
      </c>
      <c r="B63" s="18" t="s">
        <v>3292</v>
      </c>
      <c r="C63" s="17" t="s">
        <v>3293</v>
      </c>
      <c r="D63" s="17" t="s">
        <v>3294</v>
      </c>
      <c r="E63" s="17" t="s">
        <v>3295</v>
      </c>
      <c r="F63" s="17" t="s">
        <v>769</v>
      </c>
      <c r="G63" s="17" t="s">
        <v>3290</v>
      </c>
    </row>
    <row r="64" customFormat="false" ht="15" hidden="false" customHeight="false" outlineLevel="0" collapsed="false">
      <c r="A64" s="15" t="s">
        <v>3296</v>
      </c>
      <c r="B64" s="16" t="s">
        <v>3297</v>
      </c>
      <c r="C64" s="15" t="s">
        <v>3298</v>
      </c>
      <c r="D64" s="15" t="s">
        <v>3299</v>
      </c>
      <c r="E64" s="15" t="s">
        <v>3300</v>
      </c>
      <c r="F64" s="15" t="s">
        <v>1175</v>
      </c>
      <c r="G64" s="15" t="s">
        <v>3274</v>
      </c>
    </row>
    <row r="65" customFormat="false" ht="15" hidden="false" customHeight="false" outlineLevel="0" collapsed="false">
      <c r="A65" s="17" t="s">
        <v>3301</v>
      </c>
      <c r="B65" s="18" t="s">
        <v>3302</v>
      </c>
      <c r="C65" s="17" t="s">
        <v>3303</v>
      </c>
      <c r="D65" s="17" t="s">
        <v>3304</v>
      </c>
      <c r="E65" s="17" t="s">
        <v>3305</v>
      </c>
      <c r="F65" s="17" t="s">
        <v>3306</v>
      </c>
      <c r="G65" s="17" t="s">
        <v>3169</v>
      </c>
    </row>
  </sheetData>
  <autoFilter ref="A1:G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2"/>
    <col collapsed="false" customWidth="true" hidden="false" outlineLevel="0" max="4" min="4" style="0" width="48"/>
    <col collapsed="false" customWidth="true" hidden="false" outlineLevel="0" max="5" min="5" style="0" width="34"/>
  </cols>
  <sheetData>
    <row r="1" customFormat="false" ht="31.5" hidden="false" customHeight="true" outlineLevel="0" collapsed="false">
      <c r="A1" s="14" t="s">
        <v>69</v>
      </c>
      <c r="B1" s="14" t="s">
        <v>3307</v>
      </c>
      <c r="C1" s="14" t="s">
        <v>3308</v>
      </c>
      <c r="D1" s="14" t="s">
        <v>1891</v>
      </c>
      <c r="E1" s="14" t="s">
        <v>3309</v>
      </c>
    </row>
    <row r="2" customFormat="false" ht="15" hidden="false" customHeight="false" outlineLevel="0" collapsed="false">
      <c r="A2" s="15" t="s">
        <v>3310</v>
      </c>
      <c r="B2" s="16" t="s">
        <v>3311</v>
      </c>
      <c r="C2" s="15" t="s">
        <v>3312</v>
      </c>
      <c r="D2" s="15" t="s">
        <v>3313</v>
      </c>
      <c r="E2" s="15" t="s">
        <v>3314</v>
      </c>
    </row>
    <row r="3" customFormat="false" ht="15" hidden="false" customHeight="false" outlineLevel="0" collapsed="false">
      <c r="A3" s="17" t="s">
        <v>3315</v>
      </c>
      <c r="B3" s="18" t="s">
        <v>3316</v>
      </c>
      <c r="C3" s="17" t="s">
        <v>3317</v>
      </c>
      <c r="D3" s="17" t="s">
        <v>3316</v>
      </c>
      <c r="E3" s="17" t="s">
        <v>3318</v>
      </c>
    </row>
    <row r="4" customFormat="false" ht="15" hidden="false" customHeight="false" outlineLevel="0" collapsed="false">
      <c r="A4" s="15" t="s">
        <v>3319</v>
      </c>
      <c r="B4" s="16" t="s">
        <v>3320</v>
      </c>
      <c r="C4" s="15" t="s">
        <v>3321</v>
      </c>
      <c r="D4" s="15" t="s">
        <v>3320</v>
      </c>
      <c r="E4" s="15" t="s">
        <v>3322</v>
      </c>
    </row>
    <row r="5" customFormat="false" ht="15" hidden="false" customHeight="false" outlineLevel="0" collapsed="false">
      <c r="A5" s="17" t="s">
        <v>3323</v>
      </c>
      <c r="B5" s="18" t="s">
        <v>3324</v>
      </c>
      <c r="C5" s="17" t="s">
        <v>3325</v>
      </c>
      <c r="D5" s="17" t="s">
        <v>3326</v>
      </c>
      <c r="E5" s="17" t="s">
        <v>3327</v>
      </c>
    </row>
    <row r="6" customFormat="false" ht="15" hidden="false" customHeight="false" outlineLevel="0" collapsed="false">
      <c r="A6" s="15" t="s">
        <v>3328</v>
      </c>
      <c r="B6" s="16" t="s">
        <v>3329</v>
      </c>
      <c r="C6" s="15" t="s">
        <v>3330</v>
      </c>
      <c r="D6" s="15" t="s">
        <v>3331</v>
      </c>
      <c r="E6" s="15" t="s">
        <v>3332</v>
      </c>
    </row>
    <row r="7" customFormat="false" ht="15" hidden="false" customHeight="false" outlineLevel="0" collapsed="false">
      <c r="A7" s="17" t="s">
        <v>3333</v>
      </c>
      <c r="B7" s="18" t="s">
        <v>3334</v>
      </c>
      <c r="C7" s="17" t="s">
        <v>3335</v>
      </c>
      <c r="D7" s="17" t="s">
        <v>3336</v>
      </c>
      <c r="E7" s="17" t="s">
        <v>3337</v>
      </c>
    </row>
    <row r="8" customFormat="false" ht="15" hidden="false" customHeight="false" outlineLevel="0" collapsed="false">
      <c r="A8" s="15" t="s">
        <v>3338</v>
      </c>
      <c r="B8" s="16" t="s">
        <v>3339</v>
      </c>
      <c r="C8" s="15" t="s">
        <v>3340</v>
      </c>
      <c r="D8" s="15" t="s">
        <v>3341</v>
      </c>
      <c r="E8" s="15" t="s">
        <v>3342</v>
      </c>
    </row>
    <row r="9" customFormat="false" ht="15" hidden="false" customHeight="false" outlineLevel="0" collapsed="false">
      <c r="A9" s="17" t="s">
        <v>3343</v>
      </c>
      <c r="B9" s="18" t="s">
        <v>3344</v>
      </c>
      <c r="C9" s="17" t="s">
        <v>3345</v>
      </c>
      <c r="D9" s="17" t="s">
        <v>3346</v>
      </c>
      <c r="E9" s="17" t="s">
        <v>3347</v>
      </c>
    </row>
    <row r="10" customFormat="false" ht="15" hidden="false" customHeight="false" outlineLevel="0" collapsed="false">
      <c r="A10" s="15" t="s">
        <v>3348</v>
      </c>
      <c r="B10" s="16" t="s">
        <v>3349</v>
      </c>
      <c r="C10" s="15" t="s">
        <v>3350</v>
      </c>
      <c r="D10" s="15" t="s">
        <v>3351</v>
      </c>
      <c r="E10" s="15" t="s">
        <v>3352</v>
      </c>
    </row>
    <row r="11" customFormat="false" ht="15" hidden="false" customHeight="false" outlineLevel="0" collapsed="false">
      <c r="A11" s="17" t="s">
        <v>3353</v>
      </c>
      <c r="B11" s="18" t="s">
        <v>3354</v>
      </c>
      <c r="C11" s="17" t="s">
        <v>3355</v>
      </c>
      <c r="D11" s="17" t="s">
        <v>3356</v>
      </c>
      <c r="E11" s="17" t="s">
        <v>3357</v>
      </c>
    </row>
    <row r="12" customFormat="false" ht="15" hidden="false" customHeight="false" outlineLevel="0" collapsed="false">
      <c r="A12" s="15" t="s">
        <v>3358</v>
      </c>
      <c r="B12" s="16" t="s">
        <v>3359</v>
      </c>
      <c r="C12" s="15" t="s">
        <v>3360</v>
      </c>
      <c r="D12" s="15" t="s">
        <v>3361</v>
      </c>
      <c r="E12" s="15" t="s">
        <v>3362</v>
      </c>
    </row>
    <row r="13" customFormat="false" ht="15" hidden="false" customHeight="false" outlineLevel="0" collapsed="false">
      <c r="A13" s="17" t="s">
        <v>3363</v>
      </c>
      <c r="B13" s="18" t="s">
        <v>3364</v>
      </c>
      <c r="C13" s="17" t="s">
        <v>3365</v>
      </c>
      <c r="D13" s="17" t="s">
        <v>3366</v>
      </c>
      <c r="E13" s="17" t="s">
        <v>3367</v>
      </c>
    </row>
    <row r="14" customFormat="false" ht="15" hidden="false" customHeight="false" outlineLevel="0" collapsed="false">
      <c r="A14" s="15" t="s">
        <v>3368</v>
      </c>
      <c r="B14" s="16" t="s">
        <v>3369</v>
      </c>
      <c r="C14" s="15" t="s">
        <v>3370</v>
      </c>
      <c r="D14" s="15" t="s">
        <v>3371</v>
      </c>
      <c r="E14" s="15" t="s">
        <v>3372</v>
      </c>
    </row>
    <row r="15" customFormat="false" ht="15" hidden="false" customHeight="false" outlineLevel="0" collapsed="false">
      <c r="A15" s="17" t="s">
        <v>3373</v>
      </c>
      <c r="B15" s="18" t="s">
        <v>3374</v>
      </c>
      <c r="C15" s="17" t="s">
        <v>3375</v>
      </c>
      <c r="D15" s="17" t="s">
        <v>3376</v>
      </c>
      <c r="E15" s="17" t="s">
        <v>3377</v>
      </c>
    </row>
    <row r="16" customFormat="false" ht="15" hidden="false" customHeight="false" outlineLevel="0" collapsed="false">
      <c r="A16" s="15" t="s">
        <v>3378</v>
      </c>
      <c r="B16" s="16" t="s">
        <v>3379</v>
      </c>
      <c r="C16" s="15" t="s">
        <v>3380</v>
      </c>
      <c r="D16" s="15" t="s">
        <v>3381</v>
      </c>
      <c r="E16" s="15" t="s">
        <v>3382</v>
      </c>
    </row>
    <row r="17" customFormat="false" ht="15" hidden="false" customHeight="false" outlineLevel="0" collapsed="false">
      <c r="A17" s="17" t="s">
        <v>3383</v>
      </c>
      <c r="B17" s="18" t="s">
        <v>3384</v>
      </c>
      <c r="C17" s="17" t="s">
        <v>3385</v>
      </c>
      <c r="D17" s="17" t="s">
        <v>3386</v>
      </c>
      <c r="E17" s="17" t="s">
        <v>3387</v>
      </c>
    </row>
    <row r="18" customFormat="false" ht="15" hidden="false" customHeight="false" outlineLevel="0" collapsed="false">
      <c r="A18" s="15" t="s">
        <v>3388</v>
      </c>
      <c r="B18" s="16" t="s">
        <v>3389</v>
      </c>
      <c r="C18" s="15"/>
      <c r="D18" s="15" t="s">
        <v>3390</v>
      </c>
      <c r="E18" s="15" t="s">
        <v>3391</v>
      </c>
    </row>
    <row r="19" customFormat="false" ht="15" hidden="false" customHeight="false" outlineLevel="0" collapsed="false">
      <c r="A19" s="17" t="s">
        <v>3392</v>
      </c>
      <c r="B19" s="18" t="s">
        <v>3393</v>
      </c>
      <c r="C19" s="17" t="s">
        <v>3394</v>
      </c>
      <c r="D19" s="17" t="s">
        <v>3395</v>
      </c>
      <c r="E19" s="17" t="s">
        <v>3396</v>
      </c>
    </row>
    <row r="20" customFormat="false" ht="15" hidden="false" customHeight="false" outlineLevel="0" collapsed="false">
      <c r="A20" s="15" t="s">
        <v>3397</v>
      </c>
      <c r="B20" s="16" t="s">
        <v>3398</v>
      </c>
      <c r="C20" s="15" t="s">
        <v>3399</v>
      </c>
      <c r="D20" s="15" t="s">
        <v>3400</v>
      </c>
      <c r="E20" s="15" t="s">
        <v>3401</v>
      </c>
    </row>
    <row r="21" customFormat="false" ht="23.85" hidden="false" customHeight="false" outlineLevel="0" collapsed="false">
      <c r="A21" s="17" t="s">
        <v>3402</v>
      </c>
      <c r="B21" s="18" t="s">
        <v>3403</v>
      </c>
      <c r="C21" s="17" t="s">
        <v>3404</v>
      </c>
      <c r="D21" s="17" t="s">
        <v>3405</v>
      </c>
      <c r="E21" s="17" t="s">
        <v>3406</v>
      </c>
    </row>
    <row r="22" customFormat="false" ht="15" hidden="false" customHeight="false" outlineLevel="0" collapsed="false">
      <c r="A22" s="15" t="s">
        <v>3407</v>
      </c>
      <c r="B22" s="16" t="s">
        <v>3408</v>
      </c>
      <c r="C22" s="15" t="s">
        <v>3409</v>
      </c>
      <c r="D22" s="15" t="s">
        <v>3410</v>
      </c>
      <c r="E22" s="15" t="s">
        <v>3411</v>
      </c>
    </row>
    <row r="23" customFormat="false" ht="15" hidden="false" customHeight="false" outlineLevel="0" collapsed="false">
      <c r="A23" s="17" t="s">
        <v>3412</v>
      </c>
      <c r="B23" s="18" t="s">
        <v>3413</v>
      </c>
      <c r="C23" s="17"/>
      <c r="D23" s="17" t="s">
        <v>3414</v>
      </c>
      <c r="E23" s="17" t="s">
        <v>3415</v>
      </c>
    </row>
    <row r="24" customFormat="false" ht="15" hidden="false" customHeight="false" outlineLevel="0" collapsed="false">
      <c r="A24" s="15" t="s">
        <v>3416</v>
      </c>
      <c r="B24" s="16" t="s">
        <v>3417</v>
      </c>
      <c r="C24" s="15" t="s">
        <v>3418</v>
      </c>
      <c r="D24" s="15" t="s">
        <v>3419</v>
      </c>
      <c r="E24" s="15" t="s">
        <v>3420</v>
      </c>
    </row>
    <row r="25" customFormat="false" ht="15" hidden="false" customHeight="false" outlineLevel="0" collapsed="false">
      <c r="A25" s="17" t="s">
        <v>3421</v>
      </c>
      <c r="B25" s="18" t="s">
        <v>3422</v>
      </c>
      <c r="C25" s="17"/>
      <c r="D25" s="17" t="s">
        <v>3423</v>
      </c>
      <c r="E25" s="17" t="s">
        <v>3424</v>
      </c>
    </row>
    <row r="26" customFormat="false" ht="15" hidden="false" customHeight="false" outlineLevel="0" collapsed="false">
      <c r="A26" s="15" t="s">
        <v>3425</v>
      </c>
      <c r="B26" s="16" t="s">
        <v>3426</v>
      </c>
      <c r="C26" s="15" t="s">
        <v>3427</v>
      </c>
      <c r="D26" s="15" t="s">
        <v>3428</v>
      </c>
      <c r="E26" s="15" t="s">
        <v>3429</v>
      </c>
    </row>
    <row r="27" customFormat="false" ht="15" hidden="false" customHeight="false" outlineLevel="0" collapsed="false">
      <c r="A27" s="17" t="s">
        <v>3430</v>
      </c>
      <c r="B27" s="18" t="s">
        <v>3431</v>
      </c>
      <c r="C27" s="17" t="s">
        <v>3432</v>
      </c>
      <c r="D27" s="17" t="s">
        <v>3433</v>
      </c>
      <c r="E27" s="17" t="s">
        <v>3434</v>
      </c>
    </row>
    <row r="28" customFormat="false" ht="15" hidden="false" customHeight="false" outlineLevel="0" collapsed="false">
      <c r="A28" s="15" t="s">
        <v>3435</v>
      </c>
      <c r="B28" s="16" t="s">
        <v>3436</v>
      </c>
      <c r="C28" s="15" t="s">
        <v>3437</v>
      </c>
      <c r="D28" s="15" t="s">
        <v>3438</v>
      </c>
      <c r="E28" s="15" t="s">
        <v>3439</v>
      </c>
    </row>
    <row r="29" customFormat="false" ht="15" hidden="false" customHeight="false" outlineLevel="0" collapsed="false">
      <c r="A29" s="17" t="s">
        <v>3440</v>
      </c>
      <c r="B29" s="18" t="s">
        <v>3441</v>
      </c>
      <c r="C29" s="17" t="s">
        <v>3442</v>
      </c>
      <c r="D29" s="17" t="s">
        <v>3443</v>
      </c>
      <c r="E29" s="17" t="s">
        <v>3444</v>
      </c>
    </row>
    <row r="30" customFormat="false" ht="15" hidden="false" customHeight="false" outlineLevel="0" collapsed="false">
      <c r="A30" s="15" t="s">
        <v>3445</v>
      </c>
      <c r="B30" s="16" t="s">
        <v>3446</v>
      </c>
      <c r="C30" s="15"/>
      <c r="D30" s="15" t="s">
        <v>3447</v>
      </c>
      <c r="E30" s="15" t="s">
        <v>3448</v>
      </c>
    </row>
    <row r="31" customFormat="false" ht="15" hidden="false" customHeight="false" outlineLevel="0" collapsed="false">
      <c r="A31" s="17" t="s">
        <v>3449</v>
      </c>
      <c r="B31" s="18" t="s">
        <v>3450</v>
      </c>
      <c r="C31" s="17"/>
      <c r="D31" s="17" t="s">
        <v>3451</v>
      </c>
      <c r="E31" s="17" t="s">
        <v>3452</v>
      </c>
    </row>
    <row r="32" customFormat="false" ht="15" hidden="false" customHeight="false" outlineLevel="0" collapsed="false">
      <c r="A32" s="15" t="s">
        <v>3453</v>
      </c>
      <c r="B32" s="16" t="s">
        <v>3454</v>
      </c>
      <c r="C32" s="15" t="s">
        <v>3455</v>
      </c>
      <c r="D32" s="15" t="s">
        <v>3456</v>
      </c>
      <c r="E32" s="15" t="s">
        <v>3457</v>
      </c>
    </row>
    <row r="33" customFormat="false" ht="15" hidden="false" customHeight="false" outlineLevel="0" collapsed="false">
      <c r="A33" s="17" t="s">
        <v>3458</v>
      </c>
      <c r="B33" s="18" t="s">
        <v>3459</v>
      </c>
      <c r="C33" s="17" t="s">
        <v>3460</v>
      </c>
      <c r="D33" s="17" t="s">
        <v>3461</v>
      </c>
      <c r="E33" s="17" t="s">
        <v>3462</v>
      </c>
    </row>
    <row r="34" customFormat="false" ht="15" hidden="false" customHeight="false" outlineLevel="0" collapsed="false">
      <c r="A34" s="15" t="s">
        <v>3463</v>
      </c>
      <c r="B34" s="16" t="s">
        <v>3464</v>
      </c>
      <c r="C34" s="15"/>
      <c r="D34" s="15" t="s">
        <v>3465</v>
      </c>
      <c r="E34" s="15" t="s">
        <v>3466</v>
      </c>
    </row>
    <row r="35" customFormat="false" ht="15" hidden="false" customHeight="false" outlineLevel="0" collapsed="false">
      <c r="A35" s="17" t="s">
        <v>3467</v>
      </c>
      <c r="B35" s="18" t="s">
        <v>1101</v>
      </c>
      <c r="C35" s="17"/>
      <c r="D35" s="17" t="s">
        <v>3468</v>
      </c>
      <c r="E35" s="17" t="s">
        <v>3469</v>
      </c>
    </row>
    <row r="36" customFormat="false" ht="15" hidden="false" customHeight="false" outlineLevel="0" collapsed="false">
      <c r="A36" s="15" t="s">
        <v>3470</v>
      </c>
      <c r="B36" s="16" t="s">
        <v>3471</v>
      </c>
      <c r="C36" s="15"/>
      <c r="D36" s="15" t="s">
        <v>3472</v>
      </c>
      <c r="E36" s="15" t="s">
        <v>3473</v>
      </c>
    </row>
    <row r="37" customFormat="false" ht="23.85" hidden="false" customHeight="false" outlineLevel="0" collapsed="false">
      <c r="A37" s="17" t="s">
        <v>3474</v>
      </c>
      <c r="B37" s="18" t="s">
        <v>3475</v>
      </c>
      <c r="C37" s="17"/>
      <c r="D37" s="17" t="s">
        <v>3476</v>
      </c>
      <c r="E37" s="17" t="s">
        <v>3477</v>
      </c>
    </row>
    <row r="38" customFormat="false" ht="15" hidden="false" customHeight="false" outlineLevel="0" collapsed="false">
      <c r="A38" s="15" t="s">
        <v>3478</v>
      </c>
      <c r="B38" s="16" t="s">
        <v>3479</v>
      </c>
      <c r="C38" s="15"/>
      <c r="D38" s="15" t="s">
        <v>3480</v>
      </c>
      <c r="E38" s="15" t="s">
        <v>3481</v>
      </c>
    </row>
  </sheetData>
  <autoFilter ref="A1:E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22"/>
    <col collapsed="false" customWidth="true" hidden="false" outlineLevel="0" max="5" min="5" style="0" width="50"/>
  </cols>
  <sheetData>
    <row r="1" customFormat="false" ht="31.5" hidden="false" customHeight="true" outlineLevel="0" collapsed="false">
      <c r="A1" s="14" t="s">
        <v>69</v>
      </c>
      <c r="B1" s="14" t="s">
        <v>1488</v>
      </c>
      <c r="C1" s="14" t="s">
        <v>3482</v>
      </c>
      <c r="D1" s="14" t="s">
        <v>3483</v>
      </c>
      <c r="E1" s="14" t="s">
        <v>3484</v>
      </c>
    </row>
    <row r="2" customFormat="false" ht="15" hidden="false" customHeight="false" outlineLevel="0" collapsed="false">
      <c r="A2" s="15" t="s">
        <v>3485</v>
      </c>
      <c r="B2" s="16" t="s">
        <v>3486</v>
      </c>
      <c r="C2" s="15" t="s">
        <v>3487</v>
      </c>
      <c r="D2" s="15" t="s">
        <v>3488</v>
      </c>
      <c r="E2" s="15" t="s">
        <v>3489</v>
      </c>
    </row>
    <row r="3" customFormat="false" ht="15" hidden="false" customHeight="false" outlineLevel="0" collapsed="false">
      <c r="A3" s="17" t="s">
        <v>3490</v>
      </c>
      <c r="B3" s="18" t="s">
        <v>3491</v>
      </c>
      <c r="C3" s="17" t="s">
        <v>3492</v>
      </c>
      <c r="D3" s="17" t="s">
        <v>3488</v>
      </c>
      <c r="E3" s="17" t="s">
        <v>3493</v>
      </c>
    </row>
    <row r="4" customFormat="false" ht="15" hidden="false" customHeight="false" outlineLevel="0" collapsed="false">
      <c r="A4" s="15" t="s">
        <v>3494</v>
      </c>
      <c r="B4" s="16" t="s">
        <v>3495</v>
      </c>
      <c r="C4" s="15" t="s">
        <v>3496</v>
      </c>
      <c r="D4" s="15" t="s">
        <v>3488</v>
      </c>
      <c r="E4" s="15" t="s">
        <v>3497</v>
      </c>
    </row>
    <row r="5" customFormat="false" ht="15" hidden="false" customHeight="false" outlineLevel="0" collapsed="false">
      <c r="A5" s="17" t="s">
        <v>3498</v>
      </c>
      <c r="B5" s="18" t="s">
        <v>3499</v>
      </c>
      <c r="C5" s="17" t="s">
        <v>3500</v>
      </c>
      <c r="D5" s="17" t="s">
        <v>3488</v>
      </c>
      <c r="E5" s="17" t="s">
        <v>3501</v>
      </c>
    </row>
    <row r="6" customFormat="false" ht="15" hidden="false" customHeight="false" outlineLevel="0" collapsed="false">
      <c r="A6" s="15" t="s">
        <v>3502</v>
      </c>
      <c r="B6" s="16" t="s">
        <v>3503</v>
      </c>
      <c r="C6" s="15" t="s">
        <v>3504</v>
      </c>
      <c r="D6" s="15" t="s">
        <v>3505</v>
      </c>
      <c r="E6" s="15" t="s">
        <v>3506</v>
      </c>
    </row>
    <row r="7" customFormat="false" ht="15" hidden="false" customHeight="false" outlineLevel="0" collapsed="false">
      <c r="A7" s="17" t="s">
        <v>3507</v>
      </c>
      <c r="B7" s="18" t="s">
        <v>3508</v>
      </c>
      <c r="C7" s="17" t="s">
        <v>3509</v>
      </c>
      <c r="D7" s="17" t="s">
        <v>3505</v>
      </c>
      <c r="E7" s="17" t="s">
        <v>3510</v>
      </c>
    </row>
    <row r="8" customFormat="false" ht="15" hidden="false" customHeight="false" outlineLevel="0" collapsed="false">
      <c r="A8" s="15" t="s">
        <v>3511</v>
      </c>
      <c r="B8" s="16" t="s">
        <v>3512</v>
      </c>
      <c r="C8" s="15" t="s">
        <v>3513</v>
      </c>
      <c r="D8" s="15" t="s">
        <v>3505</v>
      </c>
      <c r="E8" s="15" t="s">
        <v>3514</v>
      </c>
    </row>
    <row r="9" customFormat="false" ht="15" hidden="false" customHeight="false" outlineLevel="0" collapsed="false">
      <c r="A9" s="17" t="s">
        <v>3515</v>
      </c>
      <c r="B9" s="18" t="s">
        <v>3516</v>
      </c>
      <c r="C9" s="17" t="s">
        <v>3517</v>
      </c>
      <c r="D9" s="17" t="s">
        <v>3488</v>
      </c>
      <c r="E9" s="17" t="s">
        <v>3518</v>
      </c>
    </row>
    <row r="10" customFormat="false" ht="15" hidden="false" customHeight="false" outlineLevel="0" collapsed="false">
      <c r="A10" s="15" t="s">
        <v>3519</v>
      </c>
      <c r="B10" s="16" t="s">
        <v>3520</v>
      </c>
      <c r="C10" s="15" t="s">
        <v>3521</v>
      </c>
      <c r="D10" s="15" t="s">
        <v>3522</v>
      </c>
      <c r="E10" s="15" t="s">
        <v>3523</v>
      </c>
    </row>
    <row r="11" customFormat="false" ht="15" hidden="false" customHeight="false" outlineLevel="0" collapsed="false">
      <c r="A11" s="17" t="s">
        <v>3524</v>
      </c>
      <c r="B11" s="18" t="s">
        <v>3525</v>
      </c>
      <c r="C11" s="17" t="s">
        <v>3526</v>
      </c>
      <c r="D11" s="17" t="s">
        <v>3527</v>
      </c>
      <c r="E11" s="17" t="s">
        <v>3528</v>
      </c>
    </row>
    <row r="12" customFormat="false" ht="23.85" hidden="false" customHeight="false" outlineLevel="0" collapsed="false">
      <c r="A12" s="15" t="s">
        <v>3529</v>
      </c>
      <c r="B12" s="16" t="s">
        <v>3530</v>
      </c>
      <c r="C12" s="15" t="s">
        <v>3531</v>
      </c>
      <c r="D12" s="15" t="s">
        <v>3527</v>
      </c>
      <c r="E12" s="15" t="s">
        <v>3532</v>
      </c>
    </row>
    <row r="13" customFormat="false" ht="15" hidden="false" customHeight="false" outlineLevel="0" collapsed="false">
      <c r="A13" s="17" t="s">
        <v>3533</v>
      </c>
      <c r="B13" s="18" t="s">
        <v>3534</v>
      </c>
      <c r="C13" s="17" t="s">
        <v>3535</v>
      </c>
      <c r="D13" s="17" t="s">
        <v>1496</v>
      </c>
      <c r="E13" s="17" t="s">
        <v>3536</v>
      </c>
    </row>
    <row r="14" customFormat="false" ht="15" hidden="false" customHeight="false" outlineLevel="0" collapsed="false">
      <c r="A14" s="15" t="s">
        <v>3537</v>
      </c>
      <c r="B14" s="16" t="s">
        <v>3538</v>
      </c>
      <c r="C14" s="15" t="s">
        <v>3539</v>
      </c>
      <c r="D14" s="15" t="s">
        <v>1496</v>
      </c>
      <c r="E14" s="15" t="s">
        <v>3540</v>
      </c>
    </row>
    <row r="15" customFormat="false" ht="15" hidden="false" customHeight="false" outlineLevel="0" collapsed="false">
      <c r="A15" s="17" t="s">
        <v>3541</v>
      </c>
      <c r="B15" s="18" t="s">
        <v>1513</v>
      </c>
      <c r="C15" s="17" t="s">
        <v>3542</v>
      </c>
      <c r="D15" s="17" t="s">
        <v>1496</v>
      </c>
      <c r="E15" s="17" t="s">
        <v>3543</v>
      </c>
    </row>
    <row r="16" customFormat="false" ht="23.85" hidden="false" customHeight="false" outlineLevel="0" collapsed="false">
      <c r="A16" s="15" t="s">
        <v>3544</v>
      </c>
      <c r="B16" s="16" t="s">
        <v>3545</v>
      </c>
      <c r="C16" s="15" t="s">
        <v>3546</v>
      </c>
      <c r="D16" s="15" t="s">
        <v>1496</v>
      </c>
      <c r="E16" s="15" t="s">
        <v>3547</v>
      </c>
    </row>
    <row r="17" customFormat="false" ht="15" hidden="false" customHeight="false" outlineLevel="0" collapsed="false">
      <c r="A17" s="17" t="s">
        <v>3548</v>
      </c>
      <c r="B17" s="18" t="s">
        <v>3549</v>
      </c>
      <c r="C17" s="17" t="s">
        <v>1529</v>
      </c>
      <c r="D17" s="17" t="s">
        <v>1496</v>
      </c>
      <c r="E17" s="17" t="s">
        <v>3550</v>
      </c>
    </row>
    <row r="18" customFormat="false" ht="15" hidden="false" customHeight="false" outlineLevel="0" collapsed="false">
      <c r="A18" s="15" t="s">
        <v>3551</v>
      </c>
      <c r="B18" s="16" t="s">
        <v>1564</v>
      </c>
      <c r="C18" s="15" t="s">
        <v>1563</v>
      </c>
      <c r="D18" s="15" t="s">
        <v>1496</v>
      </c>
      <c r="E18" s="15" t="s">
        <v>3552</v>
      </c>
    </row>
    <row r="19" customFormat="false" ht="15" hidden="false" customHeight="false" outlineLevel="0" collapsed="false">
      <c r="A19" s="17" t="s">
        <v>3553</v>
      </c>
      <c r="B19" s="18" t="s">
        <v>3554</v>
      </c>
      <c r="C19" s="17" t="s">
        <v>3555</v>
      </c>
      <c r="D19" s="17" t="s">
        <v>1496</v>
      </c>
      <c r="E19" s="17" t="s">
        <v>3556</v>
      </c>
    </row>
    <row r="20" customFormat="false" ht="15" hidden="false" customHeight="false" outlineLevel="0" collapsed="false">
      <c r="A20" s="15" t="s">
        <v>3557</v>
      </c>
      <c r="B20" s="16" t="s">
        <v>3558</v>
      </c>
      <c r="C20" s="15" t="s">
        <v>3559</v>
      </c>
      <c r="D20" s="15" t="s">
        <v>1496</v>
      </c>
      <c r="E20" s="15" t="s">
        <v>3560</v>
      </c>
    </row>
    <row r="21" customFormat="false" ht="15" hidden="false" customHeight="false" outlineLevel="0" collapsed="false">
      <c r="A21" s="17" t="s">
        <v>3561</v>
      </c>
      <c r="B21" s="18" t="s">
        <v>3562</v>
      </c>
      <c r="C21" s="17" t="s">
        <v>1967</v>
      </c>
      <c r="D21" s="17" t="s">
        <v>1496</v>
      </c>
      <c r="E21" s="17" t="s">
        <v>3563</v>
      </c>
    </row>
    <row r="22" customFormat="false" ht="15" hidden="false" customHeight="false" outlineLevel="0" collapsed="false">
      <c r="A22" s="15" t="s">
        <v>3564</v>
      </c>
      <c r="B22" s="16" t="s">
        <v>3565</v>
      </c>
      <c r="C22" s="15" t="s">
        <v>3566</v>
      </c>
      <c r="D22" s="15" t="s">
        <v>1496</v>
      </c>
      <c r="E22" s="15" t="s">
        <v>3567</v>
      </c>
    </row>
    <row r="23" customFormat="false" ht="15" hidden="false" customHeight="false" outlineLevel="0" collapsed="false">
      <c r="A23" s="17" t="s">
        <v>3568</v>
      </c>
      <c r="B23" s="18" t="s">
        <v>3569</v>
      </c>
      <c r="C23" s="17" t="s">
        <v>1983</v>
      </c>
      <c r="D23" s="17" t="s">
        <v>1496</v>
      </c>
      <c r="E23" s="17" t="s">
        <v>3570</v>
      </c>
    </row>
    <row r="24" customFormat="false" ht="15" hidden="false" customHeight="false" outlineLevel="0" collapsed="false">
      <c r="A24" s="15" t="s">
        <v>3571</v>
      </c>
      <c r="B24" s="16" t="s">
        <v>2027</v>
      </c>
      <c r="C24" s="15" t="s">
        <v>2026</v>
      </c>
      <c r="D24" s="15" t="s">
        <v>1496</v>
      </c>
      <c r="E24" s="15" t="s">
        <v>3572</v>
      </c>
    </row>
    <row r="25" customFormat="false" ht="15" hidden="false" customHeight="false" outlineLevel="0" collapsed="false">
      <c r="A25" s="17" t="s">
        <v>3573</v>
      </c>
      <c r="B25" s="18" t="s">
        <v>3574</v>
      </c>
      <c r="C25" s="17" t="s">
        <v>3575</v>
      </c>
      <c r="D25" s="17" t="s">
        <v>1496</v>
      </c>
      <c r="E25" s="17" t="s">
        <v>3576</v>
      </c>
    </row>
    <row r="26" customFormat="false" ht="23.85" hidden="false" customHeight="false" outlineLevel="0" collapsed="false">
      <c r="A26" s="15" t="s">
        <v>3577</v>
      </c>
      <c r="B26" s="16" t="s">
        <v>3578</v>
      </c>
      <c r="C26" s="15" t="s">
        <v>3579</v>
      </c>
      <c r="D26" s="15" t="s">
        <v>1496</v>
      </c>
      <c r="E26" s="15" t="s">
        <v>3580</v>
      </c>
    </row>
    <row r="27" customFormat="false" ht="15" hidden="false" customHeight="false" outlineLevel="0" collapsed="false">
      <c r="A27" s="17" t="s">
        <v>3581</v>
      </c>
      <c r="B27" s="18" t="s">
        <v>3582</v>
      </c>
      <c r="C27" s="17" t="s">
        <v>3583</v>
      </c>
      <c r="D27" s="17" t="s">
        <v>3584</v>
      </c>
      <c r="E27" s="17" t="s">
        <v>3585</v>
      </c>
    </row>
    <row r="28" customFormat="false" ht="15" hidden="false" customHeight="false" outlineLevel="0" collapsed="false">
      <c r="A28" s="15" t="s">
        <v>3586</v>
      </c>
      <c r="B28" s="16" t="s">
        <v>3587</v>
      </c>
      <c r="C28" s="15" t="s">
        <v>3588</v>
      </c>
      <c r="D28" s="15" t="s">
        <v>3589</v>
      </c>
      <c r="E28" s="15" t="s">
        <v>3590</v>
      </c>
    </row>
    <row r="29" customFormat="false" ht="15" hidden="false" customHeight="false" outlineLevel="0" collapsed="false">
      <c r="A29" s="17" t="s">
        <v>3591</v>
      </c>
      <c r="B29" s="18" t="s">
        <v>3039</v>
      </c>
      <c r="C29" s="17" t="s">
        <v>160</v>
      </c>
      <c r="D29" s="17" t="s">
        <v>3584</v>
      </c>
      <c r="E29" s="17" t="s">
        <v>3592</v>
      </c>
    </row>
    <row r="30" customFormat="false" ht="15" hidden="false" customHeight="false" outlineLevel="0" collapsed="false">
      <c r="A30" s="15" t="s">
        <v>3593</v>
      </c>
      <c r="B30" s="16" t="s">
        <v>3594</v>
      </c>
      <c r="C30" s="15" t="s">
        <v>1620</v>
      </c>
      <c r="D30" s="15" t="s">
        <v>3595</v>
      </c>
      <c r="E30" s="15" t="s">
        <v>3596</v>
      </c>
    </row>
    <row r="31" customFormat="false" ht="15" hidden="false" customHeight="false" outlineLevel="0" collapsed="false">
      <c r="A31" s="17" t="s">
        <v>3597</v>
      </c>
      <c r="B31" s="18" t="s">
        <v>1610</v>
      </c>
      <c r="C31" s="17" t="s">
        <v>1609</v>
      </c>
      <c r="D31" s="17" t="s">
        <v>3595</v>
      </c>
      <c r="E31" s="17" t="s">
        <v>3598</v>
      </c>
    </row>
    <row r="32" customFormat="false" ht="15" hidden="false" customHeight="false" outlineLevel="0" collapsed="false">
      <c r="A32" s="15" t="s">
        <v>3599</v>
      </c>
      <c r="B32" s="16" t="s">
        <v>3600</v>
      </c>
      <c r="C32" s="15" t="s">
        <v>3601</v>
      </c>
      <c r="D32" s="15" t="s">
        <v>3584</v>
      </c>
      <c r="E32" s="15" t="s">
        <v>3602</v>
      </c>
    </row>
    <row r="33" customFormat="false" ht="23.85" hidden="false" customHeight="false" outlineLevel="0" collapsed="false">
      <c r="A33" s="17" t="s">
        <v>3603</v>
      </c>
      <c r="B33" s="18" t="s">
        <v>3604</v>
      </c>
      <c r="C33" s="17" t="s">
        <v>3605</v>
      </c>
      <c r="D33" s="17" t="s">
        <v>3584</v>
      </c>
      <c r="E33" s="17" t="s">
        <v>3606</v>
      </c>
    </row>
    <row r="34" customFormat="false" ht="15" hidden="false" customHeight="false" outlineLevel="0" collapsed="false">
      <c r="A34" s="15" t="s">
        <v>3607</v>
      </c>
      <c r="B34" s="16" t="s">
        <v>3608</v>
      </c>
      <c r="C34" s="15" t="s">
        <v>3609</v>
      </c>
      <c r="D34" s="15" t="s">
        <v>3584</v>
      </c>
      <c r="E34" s="15" t="s">
        <v>3610</v>
      </c>
    </row>
    <row r="35" customFormat="false" ht="15" hidden="false" customHeight="false" outlineLevel="0" collapsed="false">
      <c r="A35" s="17" t="s">
        <v>3611</v>
      </c>
      <c r="B35" s="18" t="s">
        <v>3612</v>
      </c>
      <c r="C35" s="17" t="s">
        <v>3613</v>
      </c>
      <c r="D35" s="17" t="s">
        <v>3584</v>
      </c>
      <c r="E35" s="17" t="s">
        <v>3614</v>
      </c>
    </row>
    <row r="36" customFormat="false" ht="15" hidden="false" customHeight="false" outlineLevel="0" collapsed="false">
      <c r="A36" s="15" t="s">
        <v>3615</v>
      </c>
      <c r="B36" s="16" t="s">
        <v>3616</v>
      </c>
      <c r="C36" s="15" t="s">
        <v>3617</v>
      </c>
      <c r="D36" s="15" t="s">
        <v>3584</v>
      </c>
      <c r="E36" s="15" t="s">
        <v>3618</v>
      </c>
    </row>
    <row r="37" customFormat="false" ht="15" hidden="false" customHeight="false" outlineLevel="0" collapsed="false">
      <c r="A37" s="17" t="s">
        <v>3619</v>
      </c>
      <c r="B37" s="18" t="s">
        <v>2137</v>
      </c>
      <c r="C37" s="17" t="s">
        <v>921</v>
      </c>
      <c r="D37" s="17" t="s">
        <v>3584</v>
      </c>
      <c r="E37" s="17" t="s">
        <v>3620</v>
      </c>
    </row>
    <row r="38" customFormat="false" ht="15" hidden="false" customHeight="false" outlineLevel="0" collapsed="false">
      <c r="A38" s="15" t="s">
        <v>3621</v>
      </c>
      <c r="B38" s="16" t="s">
        <v>914</v>
      </c>
      <c r="C38" s="15" t="s">
        <v>913</v>
      </c>
      <c r="D38" s="15" t="s">
        <v>3584</v>
      </c>
      <c r="E38" s="15" t="s">
        <v>3622</v>
      </c>
    </row>
    <row r="39" customFormat="false" ht="23.85" hidden="false" customHeight="false" outlineLevel="0" collapsed="false">
      <c r="A39" s="17" t="s">
        <v>3623</v>
      </c>
      <c r="B39" s="18" t="s">
        <v>3624</v>
      </c>
      <c r="C39" s="17" t="s">
        <v>3625</v>
      </c>
      <c r="D39" s="17" t="s">
        <v>3584</v>
      </c>
      <c r="E39" s="17" t="s">
        <v>3626</v>
      </c>
    </row>
    <row r="40" customFormat="false" ht="15" hidden="false" customHeight="false" outlineLevel="0" collapsed="false">
      <c r="A40" s="15" t="s">
        <v>3627</v>
      </c>
      <c r="B40" s="16" t="s">
        <v>3628</v>
      </c>
      <c r="C40" s="15" t="s">
        <v>873</v>
      </c>
      <c r="D40" s="15" t="s">
        <v>3584</v>
      </c>
      <c r="E40" s="15" t="s">
        <v>3629</v>
      </c>
    </row>
    <row r="41" customFormat="false" ht="15" hidden="false" customHeight="false" outlineLevel="0" collapsed="false">
      <c r="A41" s="17" t="s">
        <v>3630</v>
      </c>
      <c r="B41" s="18" t="s">
        <v>3631</v>
      </c>
      <c r="C41" s="17" t="s">
        <v>3632</v>
      </c>
      <c r="D41" s="17" t="s">
        <v>1649</v>
      </c>
      <c r="E41" s="17" t="s">
        <v>3633</v>
      </c>
    </row>
    <row r="42" customFormat="false" ht="15" hidden="false" customHeight="false" outlineLevel="0" collapsed="false">
      <c r="A42" s="15" t="s">
        <v>3634</v>
      </c>
      <c r="B42" s="16" t="s">
        <v>3635</v>
      </c>
      <c r="C42" s="15" t="s">
        <v>3636</v>
      </c>
      <c r="D42" s="15" t="s">
        <v>1649</v>
      </c>
      <c r="E42" s="15" t="s">
        <v>3637</v>
      </c>
    </row>
    <row r="43" customFormat="false" ht="15" hidden="false" customHeight="false" outlineLevel="0" collapsed="false">
      <c r="A43" s="17" t="s">
        <v>3638</v>
      </c>
      <c r="B43" s="18" t="s">
        <v>3639</v>
      </c>
      <c r="C43" s="17" t="s">
        <v>3640</v>
      </c>
      <c r="D43" s="17" t="s">
        <v>3641</v>
      </c>
      <c r="E43" s="17" t="s">
        <v>3642</v>
      </c>
    </row>
    <row r="44" customFormat="false" ht="23.85" hidden="false" customHeight="false" outlineLevel="0" collapsed="false">
      <c r="A44" s="15" t="s">
        <v>3643</v>
      </c>
      <c r="B44" s="16" t="s">
        <v>3644</v>
      </c>
      <c r="C44" s="15" t="s">
        <v>3645</v>
      </c>
      <c r="D44" s="15" t="s">
        <v>3641</v>
      </c>
      <c r="E44" s="15" t="s">
        <v>3646</v>
      </c>
    </row>
    <row r="45" customFormat="false" ht="23.85" hidden="false" customHeight="false" outlineLevel="0" collapsed="false">
      <c r="A45" s="17" t="s">
        <v>3647</v>
      </c>
      <c r="B45" s="18" t="s">
        <v>3648</v>
      </c>
      <c r="C45" s="17" t="s">
        <v>3649</v>
      </c>
      <c r="D45" s="17" t="s">
        <v>3584</v>
      </c>
      <c r="E45" s="17" t="s">
        <v>3650</v>
      </c>
    </row>
    <row r="46" customFormat="false" ht="15" hidden="false" customHeight="false" outlineLevel="0" collapsed="false">
      <c r="A46" s="15" t="s">
        <v>3651</v>
      </c>
      <c r="B46" s="16" t="s">
        <v>234</v>
      </c>
      <c r="C46" s="15" t="s">
        <v>233</v>
      </c>
      <c r="D46" s="15" t="s">
        <v>3584</v>
      </c>
      <c r="E46" s="15" t="s">
        <v>3652</v>
      </c>
    </row>
    <row r="47" customFormat="false" ht="15" hidden="false" customHeight="false" outlineLevel="0" collapsed="false">
      <c r="A47" s="17" t="s">
        <v>3653</v>
      </c>
      <c r="B47" s="18" t="s">
        <v>3654</v>
      </c>
      <c r="C47" s="17" t="s">
        <v>3655</v>
      </c>
      <c r="D47" s="17" t="s">
        <v>3656</v>
      </c>
      <c r="E47" s="17" t="s">
        <v>3657</v>
      </c>
    </row>
    <row r="48" customFormat="false" ht="15" hidden="false" customHeight="false" outlineLevel="0" collapsed="false">
      <c r="A48" s="15" t="s">
        <v>3658</v>
      </c>
      <c r="B48" s="16" t="s">
        <v>3659</v>
      </c>
      <c r="C48" s="15" t="s">
        <v>3660</v>
      </c>
      <c r="D48" s="15" t="s">
        <v>3661</v>
      </c>
      <c r="E48" s="15" t="s">
        <v>3662</v>
      </c>
    </row>
    <row r="49" customFormat="false" ht="15" hidden="false" customHeight="false" outlineLevel="0" collapsed="false">
      <c r="A49" s="17" t="s">
        <v>3663</v>
      </c>
      <c r="B49" s="18" t="s">
        <v>3664</v>
      </c>
      <c r="C49" s="17" t="s">
        <v>3665</v>
      </c>
      <c r="D49" s="17" t="s">
        <v>1496</v>
      </c>
      <c r="E49" s="17" t="s">
        <v>3666</v>
      </c>
    </row>
    <row r="50" customFormat="false" ht="15" hidden="false" customHeight="false" outlineLevel="0" collapsed="false">
      <c r="A50" s="15" t="s">
        <v>3667</v>
      </c>
      <c r="B50" s="16" t="s">
        <v>3140</v>
      </c>
      <c r="C50" s="15" t="s">
        <v>3139</v>
      </c>
      <c r="D50" s="15" t="s">
        <v>3656</v>
      </c>
      <c r="E50" s="15" t="s">
        <v>3668</v>
      </c>
    </row>
    <row r="51" customFormat="false" ht="15" hidden="false" customHeight="false" outlineLevel="0" collapsed="false">
      <c r="A51" s="17" t="s">
        <v>3669</v>
      </c>
      <c r="B51" s="18" t="s">
        <v>422</v>
      </c>
      <c r="C51" s="17" t="s">
        <v>421</v>
      </c>
      <c r="D51" s="17" t="s">
        <v>3584</v>
      </c>
      <c r="E51" s="17" t="s">
        <v>3670</v>
      </c>
    </row>
    <row r="52" customFormat="false" ht="15" hidden="false" customHeight="false" outlineLevel="0" collapsed="false">
      <c r="A52" s="15" t="s">
        <v>3671</v>
      </c>
      <c r="B52" s="16" t="s">
        <v>3672</v>
      </c>
      <c r="C52" s="15" t="s">
        <v>690</v>
      </c>
      <c r="D52" s="15" t="s">
        <v>3584</v>
      </c>
      <c r="E52" s="15" t="s">
        <v>3673</v>
      </c>
    </row>
    <row r="53" customFormat="false" ht="15" hidden="false" customHeight="false" outlineLevel="0" collapsed="false">
      <c r="A53" s="17" t="s">
        <v>3674</v>
      </c>
      <c r="B53" s="18" t="s">
        <v>1770</v>
      </c>
      <c r="C53" s="17" t="s">
        <v>1769</v>
      </c>
      <c r="D53" s="17" t="s">
        <v>1496</v>
      </c>
      <c r="E53" s="17" t="s">
        <v>3675</v>
      </c>
    </row>
    <row r="54" customFormat="false" ht="15" hidden="false" customHeight="false" outlineLevel="0" collapsed="false">
      <c r="A54" s="15" t="s">
        <v>3676</v>
      </c>
      <c r="B54" s="16" t="s">
        <v>3677</v>
      </c>
      <c r="C54" s="15" t="s">
        <v>3678</v>
      </c>
      <c r="D54" s="15" t="s">
        <v>3679</v>
      </c>
      <c r="E54" s="15" t="s">
        <v>3680</v>
      </c>
    </row>
    <row r="55" customFormat="false" ht="15" hidden="false" customHeight="false" outlineLevel="0" collapsed="false">
      <c r="A55" s="17" t="s">
        <v>3681</v>
      </c>
      <c r="B55" s="18" t="s">
        <v>3682</v>
      </c>
      <c r="C55" s="17" t="s">
        <v>1790</v>
      </c>
      <c r="D55" s="17" t="s">
        <v>1496</v>
      </c>
      <c r="E55" s="17" t="s">
        <v>3683</v>
      </c>
    </row>
    <row r="56" customFormat="false" ht="15" hidden="false" customHeight="false" outlineLevel="0" collapsed="false">
      <c r="A56" s="15" t="s">
        <v>3684</v>
      </c>
      <c r="B56" s="16" t="s">
        <v>3685</v>
      </c>
      <c r="C56" s="15" t="s">
        <v>3686</v>
      </c>
      <c r="D56" s="15" t="s">
        <v>3687</v>
      </c>
      <c r="E56" s="15" t="s">
        <v>3688</v>
      </c>
    </row>
    <row r="57" customFormat="false" ht="15" hidden="false" customHeight="false" outlineLevel="0" collapsed="false">
      <c r="A57" s="17" t="s">
        <v>3689</v>
      </c>
      <c r="B57" s="18" t="s">
        <v>1802</v>
      </c>
      <c r="C57" s="17" t="s">
        <v>3690</v>
      </c>
      <c r="D57" s="17" t="s">
        <v>3691</v>
      </c>
      <c r="E57" s="17" t="s">
        <v>3692</v>
      </c>
    </row>
    <row r="58" customFormat="false" ht="15" hidden="false" customHeight="false" outlineLevel="0" collapsed="false">
      <c r="A58" s="15" t="s">
        <v>3693</v>
      </c>
      <c r="B58" s="16" t="s">
        <v>3694</v>
      </c>
      <c r="C58" s="15" t="s">
        <v>3695</v>
      </c>
      <c r="D58" s="15" t="s">
        <v>3696</v>
      </c>
      <c r="E58" s="15" t="s">
        <v>3697</v>
      </c>
    </row>
    <row r="59" customFormat="false" ht="15" hidden="false" customHeight="false" outlineLevel="0" collapsed="false">
      <c r="A59" s="17" t="s">
        <v>3698</v>
      </c>
      <c r="B59" s="18" t="s">
        <v>3699</v>
      </c>
      <c r="C59" s="17" t="s">
        <v>2172</v>
      </c>
      <c r="D59" s="17" t="s">
        <v>3696</v>
      </c>
      <c r="E59" s="17" t="s">
        <v>3700</v>
      </c>
    </row>
    <row r="60" customFormat="false" ht="15" hidden="false" customHeight="false" outlineLevel="0" collapsed="false">
      <c r="A60" s="15" t="s">
        <v>3701</v>
      </c>
      <c r="B60" s="16" t="s">
        <v>3702</v>
      </c>
      <c r="C60" s="15" t="s">
        <v>2287</v>
      </c>
      <c r="D60" s="15" t="s">
        <v>3696</v>
      </c>
      <c r="E60" s="15" t="s">
        <v>3703</v>
      </c>
    </row>
    <row r="61" customFormat="false" ht="15" hidden="false" customHeight="false" outlineLevel="0" collapsed="false">
      <c r="A61" s="17" t="s">
        <v>3704</v>
      </c>
      <c r="B61" s="18" t="s">
        <v>3705</v>
      </c>
      <c r="C61" s="17" t="s">
        <v>3706</v>
      </c>
      <c r="D61" s="17" t="s">
        <v>3696</v>
      </c>
      <c r="E61" s="17" t="s">
        <v>3707</v>
      </c>
    </row>
    <row r="62" customFormat="false" ht="15" hidden="false" customHeight="false" outlineLevel="0" collapsed="false">
      <c r="A62" s="15" t="s">
        <v>3708</v>
      </c>
      <c r="B62" s="16" t="s">
        <v>3709</v>
      </c>
      <c r="C62" s="15" t="s">
        <v>3710</v>
      </c>
      <c r="D62" s="15" t="s">
        <v>3696</v>
      </c>
      <c r="E62" s="15" t="s">
        <v>3711</v>
      </c>
    </row>
    <row r="63" customFormat="false" ht="15" hidden="false" customHeight="false" outlineLevel="0" collapsed="false">
      <c r="A63" s="17" t="s">
        <v>3712</v>
      </c>
      <c r="B63" s="18" t="s">
        <v>3713</v>
      </c>
      <c r="C63" s="17" t="s">
        <v>3714</v>
      </c>
      <c r="D63" s="17" t="s">
        <v>3715</v>
      </c>
      <c r="E63" s="17" t="s">
        <v>3716</v>
      </c>
    </row>
    <row r="64" customFormat="false" ht="15" hidden="false" customHeight="false" outlineLevel="0" collapsed="false">
      <c r="A64" s="15" t="s">
        <v>3717</v>
      </c>
      <c r="B64" s="16" t="s">
        <v>3718</v>
      </c>
      <c r="C64" s="15" t="s">
        <v>3719</v>
      </c>
      <c r="D64" s="15" t="s">
        <v>3715</v>
      </c>
      <c r="E64" s="15" t="s">
        <v>3720</v>
      </c>
    </row>
    <row r="65" customFormat="false" ht="15" hidden="false" customHeight="false" outlineLevel="0" collapsed="false">
      <c r="A65" s="17" t="s">
        <v>3721</v>
      </c>
      <c r="B65" s="18" t="s">
        <v>3722</v>
      </c>
      <c r="C65" s="17" t="s">
        <v>3723</v>
      </c>
      <c r="D65" s="17" t="s">
        <v>3715</v>
      </c>
      <c r="E65" s="17" t="s">
        <v>3724</v>
      </c>
    </row>
    <row r="66" customFormat="false" ht="15" hidden="false" customHeight="false" outlineLevel="0" collapsed="false">
      <c r="A66" s="15" t="s">
        <v>3725</v>
      </c>
      <c r="B66" s="16" t="s">
        <v>3726</v>
      </c>
      <c r="C66" s="15" t="s">
        <v>3727</v>
      </c>
      <c r="D66" s="15" t="s">
        <v>3715</v>
      </c>
      <c r="E66" s="15" t="s">
        <v>3728</v>
      </c>
    </row>
    <row r="67" customFormat="false" ht="15" hidden="false" customHeight="false" outlineLevel="0" collapsed="false">
      <c r="A67" s="17" t="s">
        <v>3729</v>
      </c>
      <c r="B67" s="18" t="s">
        <v>3730</v>
      </c>
      <c r="C67" s="17" t="s">
        <v>3731</v>
      </c>
      <c r="D67" s="17" t="s">
        <v>3715</v>
      </c>
      <c r="E67" s="17" t="s">
        <v>3732</v>
      </c>
    </row>
    <row r="68" customFormat="false" ht="15" hidden="false" customHeight="false" outlineLevel="0" collapsed="false">
      <c r="A68" s="15" t="s">
        <v>3733</v>
      </c>
      <c r="B68" s="16" t="s">
        <v>3734</v>
      </c>
      <c r="C68" s="15" t="s">
        <v>3735</v>
      </c>
      <c r="D68" s="15" t="s">
        <v>3715</v>
      </c>
      <c r="E68" s="15" t="s">
        <v>3736</v>
      </c>
    </row>
    <row r="69" customFormat="false" ht="15" hidden="false" customHeight="false" outlineLevel="0" collapsed="false">
      <c r="A69" s="17" t="s">
        <v>3737</v>
      </c>
      <c r="B69" s="18" t="s">
        <v>3738</v>
      </c>
      <c r="C69" s="17" t="s">
        <v>3739</v>
      </c>
      <c r="D69" s="17" t="s">
        <v>3715</v>
      </c>
      <c r="E69" s="17" t="s">
        <v>3740</v>
      </c>
    </row>
    <row r="70" customFormat="false" ht="15" hidden="false" customHeight="false" outlineLevel="0" collapsed="false">
      <c r="A70" s="15" t="s">
        <v>3741</v>
      </c>
      <c r="B70" s="16" t="s">
        <v>3742</v>
      </c>
      <c r="C70" s="15" t="s">
        <v>3743</v>
      </c>
      <c r="D70" s="15" t="s">
        <v>3715</v>
      </c>
      <c r="E70" s="15" t="s">
        <v>3744</v>
      </c>
    </row>
    <row r="71" customFormat="false" ht="15" hidden="false" customHeight="false" outlineLevel="0" collapsed="false">
      <c r="A71" s="17" t="s">
        <v>3745</v>
      </c>
      <c r="B71" s="18" t="s">
        <v>3746</v>
      </c>
      <c r="C71" s="17" t="s">
        <v>3747</v>
      </c>
      <c r="D71" s="17" t="s">
        <v>3715</v>
      </c>
      <c r="E71" s="17" t="s">
        <v>3748</v>
      </c>
    </row>
    <row r="72" customFormat="false" ht="15" hidden="false" customHeight="false" outlineLevel="0" collapsed="false">
      <c r="A72" s="15" t="s">
        <v>3749</v>
      </c>
      <c r="B72" s="16" t="s">
        <v>3750</v>
      </c>
      <c r="C72" s="15" t="s">
        <v>3751</v>
      </c>
      <c r="D72" s="15" t="s">
        <v>3752</v>
      </c>
      <c r="E72" s="15" t="s">
        <v>3753</v>
      </c>
    </row>
    <row r="73" customFormat="false" ht="15" hidden="false" customHeight="false" outlineLevel="0" collapsed="false">
      <c r="A73" s="17" t="s">
        <v>3754</v>
      </c>
      <c r="B73" s="18" t="s">
        <v>3755</v>
      </c>
      <c r="C73" s="17" t="s">
        <v>3756</v>
      </c>
      <c r="D73" s="17" t="s">
        <v>3757</v>
      </c>
      <c r="E73" s="17" t="s">
        <v>3758</v>
      </c>
    </row>
    <row r="74" customFormat="false" ht="15" hidden="false" customHeight="false" outlineLevel="0" collapsed="false">
      <c r="A74" s="15" t="s">
        <v>3759</v>
      </c>
      <c r="B74" s="16" t="s">
        <v>3760</v>
      </c>
      <c r="C74" s="15" t="s">
        <v>3761</v>
      </c>
      <c r="D74" s="15" t="s">
        <v>3762</v>
      </c>
      <c r="E74" s="15" t="s">
        <v>3763</v>
      </c>
    </row>
    <row r="75" customFormat="false" ht="15" hidden="false" customHeight="false" outlineLevel="0" collapsed="false">
      <c r="A75" s="17" t="s">
        <v>3764</v>
      </c>
      <c r="B75" s="18" t="s">
        <v>3765</v>
      </c>
      <c r="C75" s="17" t="s">
        <v>3766</v>
      </c>
      <c r="D75" s="17" t="s">
        <v>3767</v>
      </c>
      <c r="E75" s="17" t="s">
        <v>3768</v>
      </c>
    </row>
    <row r="76" customFormat="false" ht="23.85" hidden="false" customHeight="false" outlineLevel="0" collapsed="false">
      <c r="A76" s="15" t="s">
        <v>3769</v>
      </c>
      <c r="B76" s="16" t="s">
        <v>3770</v>
      </c>
      <c r="C76" s="15" t="s">
        <v>3771</v>
      </c>
      <c r="D76" s="15" t="s">
        <v>3772</v>
      </c>
      <c r="E76" s="15" t="s">
        <v>3773</v>
      </c>
    </row>
    <row r="77" customFormat="false" ht="15" hidden="false" customHeight="false" outlineLevel="0" collapsed="false">
      <c r="A77" s="17" t="s">
        <v>3774</v>
      </c>
      <c r="B77" s="18" t="s">
        <v>3775</v>
      </c>
      <c r="C77" s="17" t="s">
        <v>3776</v>
      </c>
      <c r="D77" s="17" t="s">
        <v>3777</v>
      </c>
      <c r="E77" s="17" t="s">
        <v>3778</v>
      </c>
    </row>
    <row r="78" customFormat="false" ht="15" hidden="false" customHeight="false" outlineLevel="0" collapsed="false">
      <c r="A78" s="15" t="s">
        <v>3779</v>
      </c>
      <c r="B78" s="16" t="s">
        <v>3780</v>
      </c>
      <c r="C78" s="15" t="s">
        <v>3781</v>
      </c>
      <c r="D78" s="15" t="s">
        <v>3777</v>
      </c>
      <c r="E78" s="15" t="s">
        <v>3782</v>
      </c>
    </row>
    <row r="79" customFormat="false" ht="15" hidden="false" customHeight="false" outlineLevel="0" collapsed="false">
      <c r="A79" s="17" t="s">
        <v>3783</v>
      </c>
      <c r="B79" s="18" t="s">
        <v>3784</v>
      </c>
      <c r="C79" s="17" t="s">
        <v>2756</v>
      </c>
      <c r="D79" s="17" t="s">
        <v>3785</v>
      </c>
      <c r="E79" s="17" t="s">
        <v>3786</v>
      </c>
    </row>
    <row r="80" customFormat="false" ht="15" hidden="false" customHeight="false" outlineLevel="0" collapsed="false">
      <c r="A80" s="15" t="s">
        <v>3787</v>
      </c>
      <c r="B80" s="16" t="s">
        <v>3210</v>
      </c>
      <c r="C80" s="15" t="s">
        <v>3209</v>
      </c>
      <c r="D80" s="15" t="s">
        <v>3785</v>
      </c>
      <c r="E80" s="15" t="s">
        <v>3788</v>
      </c>
    </row>
    <row r="81" customFormat="false" ht="15" hidden="false" customHeight="false" outlineLevel="0" collapsed="false">
      <c r="A81" s="17" t="s">
        <v>3789</v>
      </c>
      <c r="B81" s="18" t="s">
        <v>3790</v>
      </c>
      <c r="C81" s="17" t="s">
        <v>3791</v>
      </c>
      <c r="D81" s="17" t="s">
        <v>3785</v>
      </c>
      <c r="E81" s="17" t="s">
        <v>3792</v>
      </c>
    </row>
    <row r="82" customFormat="false" ht="15" hidden="false" customHeight="false" outlineLevel="0" collapsed="false">
      <c r="A82" s="15" t="s">
        <v>3793</v>
      </c>
      <c r="B82" s="16" t="s">
        <v>3794</v>
      </c>
      <c r="C82" s="15" t="s">
        <v>3795</v>
      </c>
      <c r="D82" s="15" t="s">
        <v>3796</v>
      </c>
      <c r="E82" s="15" t="s">
        <v>3797</v>
      </c>
    </row>
    <row r="83" customFormat="false" ht="15" hidden="false" customHeight="false" outlineLevel="0" collapsed="false">
      <c r="A83" s="17" t="s">
        <v>3798</v>
      </c>
      <c r="B83" s="18" t="s">
        <v>3799</v>
      </c>
      <c r="C83" s="17" t="s">
        <v>3800</v>
      </c>
      <c r="D83" s="17" t="s">
        <v>3796</v>
      </c>
      <c r="E83" s="17" t="s">
        <v>3801</v>
      </c>
    </row>
    <row r="84" customFormat="false" ht="15" hidden="false" customHeight="false" outlineLevel="0" collapsed="false">
      <c r="A84" s="15" t="s">
        <v>3802</v>
      </c>
      <c r="B84" s="16" t="s">
        <v>3803</v>
      </c>
      <c r="C84" s="15" t="s">
        <v>3804</v>
      </c>
      <c r="D84" s="15" t="s">
        <v>3805</v>
      </c>
      <c r="E84" s="15" t="s">
        <v>3806</v>
      </c>
    </row>
    <row r="85" customFormat="false" ht="15" hidden="false" customHeight="false" outlineLevel="0" collapsed="false">
      <c r="A85" s="17" t="s">
        <v>3807</v>
      </c>
      <c r="B85" s="18" t="s">
        <v>3808</v>
      </c>
      <c r="C85" s="17" t="s">
        <v>3809</v>
      </c>
      <c r="D85" s="17" t="s">
        <v>3805</v>
      </c>
      <c r="E85" s="17" t="s">
        <v>3810</v>
      </c>
    </row>
    <row r="86" customFormat="false" ht="15" hidden="false" customHeight="false" outlineLevel="0" collapsed="false">
      <c r="A86" s="15" t="s">
        <v>3811</v>
      </c>
      <c r="B86" s="16" t="s">
        <v>3812</v>
      </c>
      <c r="C86" s="15" t="s">
        <v>3813</v>
      </c>
      <c r="D86" s="15" t="s">
        <v>3814</v>
      </c>
      <c r="E86" s="15" t="s">
        <v>3815</v>
      </c>
    </row>
    <row r="87" customFormat="false" ht="15" hidden="false" customHeight="false" outlineLevel="0" collapsed="false">
      <c r="A87" s="17" t="s">
        <v>3816</v>
      </c>
      <c r="B87" s="18" t="s">
        <v>3817</v>
      </c>
      <c r="C87" s="17" t="s">
        <v>3818</v>
      </c>
      <c r="D87" s="17" t="s">
        <v>1710</v>
      </c>
      <c r="E87" s="17" t="s">
        <v>3819</v>
      </c>
    </row>
    <row r="88" customFormat="false" ht="15" hidden="false" customHeight="false" outlineLevel="0" collapsed="false">
      <c r="A88" s="15" t="s">
        <v>3820</v>
      </c>
      <c r="B88" s="16" t="s">
        <v>3821</v>
      </c>
      <c r="C88" s="15" t="s">
        <v>1728</v>
      </c>
      <c r="D88" s="15" t="s">
        <v>1726</v>
      </c>
      <c r="E88" s="15" t="s">
        <v>3822</v>
      </c>
    </row>
    <row r="89" customFormat="false" ht="15" hidden="false" customHeight="false" outlineLevel="0" collapsed="false">
      <c r="A89" s="17" t="s">
        <v>3823</v>
      </c>
      <c r="B89" s="18" t="s">
        <v>3824</v>
      </c>
      <c r="C89" s="17" t="s">
        <v>3825</v>
      </c>
      <c r="D89" s="17" t="s">
        <v>1496</v>
      </c>
      <c r="E89" s="17" t="s">
        <v>3826</v>
      </c>
    </row>
    <row r="90" customFormat="false" ht="15" hidden="false" customHeight="false" outlineLevel="0" collapsed="false">
      <c r="A90" s="15" t="s">
        <v>3827</v>
      </c>
      <c r="B90" s="16" t="s">
        <v>3828</v>
      </c>
      <c r="C90" s="15" t="s">
        <v>3829</v>
      </c>
      <c r="D90" s="15" t="s">
        <v>1541</v>
      </c>
      <c r="E90" s="15" t="s">
        <v>3830</v>
      </c>
    </row>
  </sheetData>
  <autoFilter ref="A1:E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31.5" hidden="false" customHeight="true" outlineLevel="0" collapsed="false">
      <c r="A1" s="14" t="s">
        <v>69</v>
      </c>
      <c r="B1" s="14" t="s">
        <v>3483</v>
      </c>
      <c r="C1" s="14" t="s">
        <v>3831</v>
      </c>
      <c r="D1" s="14" t="s">
        <v>3832</v>
      </c>
    </row>
    <row r="2" customFormat="false" ht="15" hidden="false" customHeight="false" outlineLevel="0" collapsed="false">
      <c r="A2" s="15" t="s">
        <v>3833</v>
      </c>
      <c r="B2" s="16" t="s">
        <v>3834</v>
      </c>
      <c r="C2" s="15" t="s">
        <v>3835</v>
      </c>
      <c r="D2" s="15" t="s">
        <v>3836</v>
      </c>
    </row>
    <row r="3" customFormat="false" ht="23.85" hidden="false" customHeight="false" outlineLevel="0" collapsed="false">
      <c r="A3" s="17" t="s">
        <v>3837</v>
      </c>
      <c r="B3" s="18" t="s">
        <v>3834</v>
      </c>
      <c r="C3" s="17" t="s">
        <v>3838</v>
      </c>
      <c r="D3" s="17" t="s">
        <v>3839</v>
      </c>
    </row>
    <row r="4" customFormat="false" ht="15" hidden="false" customHeight="false" outlineLevel="0" collapsed="false">
      <c r="A4" s="15" t="s">
        <v>3840</v>
      </c>
      <c r="B4" s="16" t="s">
        <v>3834</v>
      </c>
      <c r="C4" s="15" t="s">
        <v>3841</v>
      </c>
      <c r="D4" s="15" t="s">
        <v>3842</v>
      </c>
    </row>
    <row r="5" customFormat="false" ht="15" hidden="false" customHeight="false" outlineLevel="0" collapsed="false">
      <c r="A5" s="17" t="s">
        <v>3843</v>
      </c>
      <c r="B5" s="18" t="s">
        <v>3834</v>
      </c>
      <c r="C5" s="17" t="s">
        <v>3844</v>
      </c>
      <c r="D5" s="17" t="s">
        <v>3845</v>
      </c>
    </row>
    <row r="6" customFormat="false" ht="23.85" hidden="false" customHeight="false" outlineLevel="0" collapsed="false">
      <c r="A6" s="15" t="s">
        <v>3846</v>
      </c>
      <c r="B6" s="16" t="s">
        <v>3834</v>
      </c>
      <c r="C6" s="15" t="s">
        <v>3847</v>
      </c>
      <c r="D6" s="15" t="s">
        <v>3848</v>
      </c>
    </row>
    <row r="7" customFormat="false" ht="15" hidden="false" customHeight="false" outlineLevel="0" collapsed="false">
      <c r="A7" s="17" t="s">
        <v>3849</v>
      </c>
      <c r="B7" s="18" t="s">
        <v>3834</v>
      </c>
      <c r="C7" s="17" t="s">
        <v>3850</v>
      </c>
      <c r="D7" s="17" t="s">
        <v>3851</v>
      </c>
    </row>
    <row r="8" customFormat="false" ht="15" hidden="false" customHeight="false" outlineLevel="0" collapsed="false">
      <c r="A8" s="15" t="s">
        <v>3852</v>
      </c>
      <c r="B8" s="16" t="s">
        <v>3834</v>
      </c>
      <c r="C8" s="15" t="s">
        <v>3853</v>
      </c>
      <c r="D8" s="15" t="s">
        <v>3854</v>
      </c>
    </row>
    <row r="9" customFormat="false" ht="15" hidden="false" customHeight="false" outlineLevel="0" collapsed="false">
      <c r="A9" s="17" t="s">
        <v>3855</v>
      </c>
      <c r="B9" s="18" t="s">
        <v>3834</v>
      </c>
      <c r="C9" s="17" t="s">
        <v>3856</v>
      </c>
      <c r="D9" s="17" t="s">
        <v>3857</v>
      </c>
    </row>
    <row r="10" customFormat="false" ht="15" hidden="false" customHeight="false" outlineLevel="0" collapsed="false">
      <c r="A10" s="15" t="s">
        <v>3858</v>
      </c>
      <c r="B10" s="16" t="s">
        <v>3834</v>
      </c>
      <c r="C10" s="15" t="s">
        <v>3859</v>
      </c>
      <c r="D10" s="15" t="s">
        <v>3860</v>
      </c>
    </row>
    <row r="11" customFormat="false" ht="15" hidden="false" customHeight="false" outlineLevel="0" collapsed="false">
      <c r="A11" s="17" t="s">
        <v>3861</v>
      </c>
      <c r="B11" s="18" t="s">
        <v>3862</v>
      </c>
      <c r="C11" s="17" t="s">
        <v>3863</v>
      </c>
      <c r="D11" s="17" t="s">
        <v>3864</v>
      </c>
    </row>
    <row r="12" customFormat="false" ht="23.85" hidden="false" customHeight="false" outlineLevel="0" collapsed="false">
      <c r="A12" s="15" t="s">
        <v>3865</v>
      </c>
      <c r="B12" s="16" t="s">
        <v>3862</v>
      </c>
      <c r="C12" s="15" t="s">
        <v>3866</v>
      </c>
      <c r="D12" s="15" t="s">
        <v>3867</v>
      </c>
    </row>
    <row r="13" customFormat="false" ht="15" hidden="false" customHeight="false" outlineLevel="0" collapsed="false">
      <c r="A13" s="17" t="s">
        <v>3868</v>
      </c>
      <c r="B13" s="18" t="s">
        <v>31</v>
      </c>
      <c r="C13" s="17" t="s">
        <v>3869</v>
      </c>
      <c r="D13" s="17" t="s">
        <v>3870</v>
      </c>
    </row>
    <row r="14" customFormat="false" ht="15" hidden="false" customHeight="false" outlineLevel="0" collapsed="false">
      <c r="A14" s="15" t="s">
        <v>3871</v>
      </c>
      <c r="B14" s="16" t="s">
        <v>31</v>
      </c>
      <c r="C14" s="15" t="s">
        <v>3872</v>
      </c>
      <c r="D14" s="15" t="s">
        <v>3873</v>
      </c>
    </row>
    <row r="15" customFormat="false" ht="15" hidden="false" customHeight="false" outlineLevel="0" collapsed="false">
      <c r="A15" s="17" t="s">
        <v>3874</v>
      </c>
      <c r="B15" s="18" t="s">
        <v>31</v>
      </c>
      <c r="C15" s="17" t="s">
        <v>3875</v>
      </c>
      <c r="D15" s="17" t="s">
        <v>3876</v>
      </c>
    </row>
    <row r="16" customFormat="false" ht="15" hidden="false" customHeight="false" outlineLevel="0" collapsed="false">
      <c r="A16" s="15" t="s">
        <v>3877</v>
      </c>
      <c r="B16" s="16" t="s">
        <v>31</v>
      </c>
      <c r="C16" s="15" t="s">
        <v>3878</v>
      </c>
      <c r="D16" s="15" t="s">
        <v>3879</v>
      </c>
    </row>
    <row r="17" customFormat="false" ht="23.85" hidden="false" customHeight="false" outlineLevel="0" collapsed="false">
      <c r="A17" s="17" t="s">
        <v>3880</v>
      </c>
      <c r="B17" s="18" t="s">
        <v>31</v>
      </c>
      <c r="C17" s="17" t="s">
        <v>3881</v>
      </c>
      <c r="D17" s="17" t="s">
        <v>3882</v>
      </c>
    </row>
    <row r="18" customFormat="false" ht="15" hidden="false" customHeight="false" outlineLevel="0" collapsed="false">
      <c r="A18" s="15" t="s">
        <v>3883</v>
      </c>
      <c r="B18" s="16" t="s">
        <v>1897</v>
      </c>
      <c r="C18" s="15" t="s">
        <v>3884</v>
      </c>
      <c r="D18" s="15" t="s">
        <v>3885</v>
      </c>
    </row>
    <row r="19" customFormat="false" ht="15" hidden="false" customHeight="false" outlineLevel="0" collapsed="false">
      <c r="A19" s="17" t="s">
        <v>3886</v>
      </c>
      <c r="B19" s="18" t="s">
        <v>1897</v>
      </c>
      <c r="C19" s="17" t="s">
        <v>3887</v>
      </c>
      <c r="D19" s="17" t="s">
        <v>3888</v>
      </c>
    </row>
    <row r="20" customFormat="false" ht="15" hidden="false" customHeight="false" outlineLevel="0" collapsed="false">
      <c r="A20" s="15" t="s">
        <v>3889</v>
      </c>
      <c r="B20" s="16" t="s">
        <v>1897</v>
      </c>
      <c r="C20" s="15" t="s">
        <v>3890</v>
      </c>
      <c r="D20" s="15" t="s">
        <v>3891</v>
      </c>
    </row>
    <row r="21" customFormat="false" ht="15" hidden="false" customHeight="false" outlineLevel="0" collapsed="false">
      <c r="A21" s="17" t="s">
        <v>3892</v>
      </c>
      <c r="B21" s="18" t="s">
        <v>1897</v>
      </c>
      <c r="C21" s="17" t="s">
        <v>3893</v>
      </c>
      <c r="D21" s="17" t="s">
        <v>3894</v>
      </c>
    </row>
    <row r="22" customFormat="false" ht="15" hidden="false" customHeight="false" outlineLevel="0" collapsed="false">
      <c r="A22" s="15" t="s">
        <v>3895</v>
      </c>
      <c r="B22" s="16" t="s">
        <v>2587</v>
      </c>
      <c r="C22" s="15" t="s">
        <v>3896</v>
      </c>
      <c r="D22" s="15" t="s">
        <v>3897</v>
      </c>
    </row>
    <row r="23" customFormat="false" ht="15" hidden="false" customHeight="false" outlineLevel="0" collapsed="false">
      <c r="A23" s="17" t="s">
        <v>3898</v>
      </c>
      <c r="B23" s="18" t="s">
        <v>2587</v>
      </c>
      <c r="C23" s="17" t="s">
        <v>3899</v>
      </c>
      <c r="D23" s="17" t="s">
        <v>3900</v>
      </c>
    </row>
    <row r="24" customFormat="false" ht="15" hidden="false" customHeight="false" outlineLevel="0" collapsed="false">
      <c r="A24" s="15" t="s">
        <v>3901</v>
      </c>
      <c r="B24" s="16" t="s">
        <v>3902</v>
      </c>
      <c r="C24" s="15" t="s">
        <v>3903</v>
      </c>
      <c r="D24" s="15" t="s">
        <v>3904</v>
      </c>
    </row>
    <row r="25" customFormat="false" ht="15" hidden="false" customHeight="false" outlineLevel="0" collapsed="false">
      <c r="A25" s="17" t="s">
        <v>3905</v>
      </c>
      <c r="B25" s="18" t="s">
        <v>3902</v>
      </c>
      <c r="C25" s="17" t="s">
        <v>3906</v>
      </c>
      <c r="D25" s="17" t="s">
        <v>3907</v>
      </c>
    </row>
    <row r="26" customFormat="false" ht="15" hidden="false" customHeight="false" outlineLevel="0" collapsed="false">
      <c r="A26" s="15" t="s">
        <v>3908</v>
      </c>
      <c r="B26" s="16" t="s">
        <v>3902</v>
      </c>
      <c r="C26" s="15" t="s">
        <v>3909</v>
      </c>
      <c r="D26" s="15" t="s">
        <v>3910</v>
      </c>
    </row>
    <row r="27" customFormat="false" ht="23.85" hidden="false" customHeight="false" outlineLevel="0" collapsed="false">
      <c r="A27" s="17" t="s">
        <v>3911</v>
      </c>
      <c r="B27" s="18" t="s">
        <v>3912</v>
      </c>
      <c r="C27" s="17" t="s">
        <v>3913</v>
      </c>
      <c r="D27" s="17" t="s">
        <v>3914</v>
      </c>
    </row>
    <row r="28" customFormat="false" ht="15" hidden="false" customHeight="false" outlineLevel="0" collapsed="false">
      <c r="A28" s="15" t="s">
        <v>3915</v>
      </c>
      <c r="B28" s="16" t="s">
        <v>3912</v>
      </c>
      <c r="C28" s="15" t="s">
        <v>3916</v>
      </c>
      <c r="D28" s="15" t="s">
        <v>3917</v>
      </c>
    </row>
    <row r="29" customFormat="false" ht="23.85" hidden="false" customHeight="false" outlineLevel="0" collapsed="false">
      <c r="A29" s="17" t="s">
        <v>3918</v>
      </c>
      <c r="B29" s="18" t="s">
        <v>3912</v>
      </c>
      <c r="C29" s="17" t="s">
        <v>3919</v>
      </c>
      <c r="D29" s="17" t="s">
        <v>3920</v>
      </c>
    </row>
    <row r="30" customFormat="false" ht="15" hidden="false" customHeight="false" outlineLevel="0" collapsed="false">
      <c r="A30" s="15" t="s">
        <v>3921</v>
      </c>
      <c r="B30" s="16" t="s">
        <v>3912</v>
      </c>
      <c r="C30" s="15" t="s">
        <v>3922</v>
      </c>
      <c r="D30" s="15" t="s">
        <v>3923</v>
      </c>
    </row>
    <row r="31" customFormat="false" ht="23.85" hidden="false" customHeight="false" outlineLevel="0" collapsed="false">
      <c r="A31" s="17" t="s">
        <v>3924</v>
      </c>
      <c r="B31" s="18" t="s">
        <v>3925</v>
      </c>
      <c r="C31" s="17" t="s">
        <v>3926</v>
      </c>
      <c r="D31" s="17" t="s">
        <v>3927</v>
      </c>
    </row>
    <row r="32" customFormat="false" ht="15" hidden="false" customHeight="false" outlineLevel="0" collapsed="false">
      <c r="A32" s="15" t="s">
        <v>3928</v>
      </c>
      <c r="B32" s="16" t="s">
        <v>3925</v>
      </c>
      <c r="C32" s="15" t="s">
        <v>3929</v>
      </c>
      <c r="D32" s="15" t="s">
        <v>3930</v>
      </c>
    </row>
    <row r="33" customFormat="false" ht="15" hidden="false" customHeight="false" outlineLevel="0" collapsed="false">
      <c r="A33" s="17" t="s">
        <v>3931</v>
      </c>
      <c r="B33" s="18" t="s">
        <v>3925</v>
      </c>
      <c r="C33" s="17" t="s">
        <v>3932</v>
      </c>
      <c r="D33" s="17" t="s">
        <v>3933</v>
      </c>
    </row>
    <row r="34" customFormat="false" ht="15" hidden="false" customHeight="false" outlineLevel="0" collapsed="false">
      <c r="A34" s="15" t="s">
        <v>3934</v>
      </c>
      <c r="B34" s="16" t="s">
        <v>3935</v>
      </c>
      <c r="C34" s="15" t="s">
        <v>3936</v>
      </c>
      <c r="D34" s="15" t="s">
        <v>3937</v>
      </c>
    </row>
    <row r="35" customFormat="false" ht="23.85" hidden="false" customHeight="false" outlineLevel="0" collapsed="false">
      <c r="A35" s="17" t="s">
        <v>3938</v>
      </c>
      <c r="B35" s="18" t="s">
        <v>3935</v>
      </c>
      <c r="C35" s="17" t="s">
        <v>3939</v>
      </c>
      <c r="D35" s="17" t="s">
        <v>3940</v>
      </c>
    </row>
    <row r="36" customFormat="false" ht="15" hidden="false" customHeight="false" outlineLevel="0" collapsed="false">
      <c r="A36" s="15" t="s">
        <v>3941</v>
      </c>
      <c r="B36" s="16" t="s">
        <v>3935</v>
      </c>
      <c r="C36" s="15" t="s">
        <v>3942</v>
      </c>
      <c r="D36" s="15" t="s">
        <v>3937</v>
      </c>
    </row>
    <row r="37" customFormat="false" ht="15" hidden="false" customHeight="false" outlineLevel="0" collapsed="false">
      <c r="A37" s="17" t="s">
        <v>3943</v>
      </c>
      <c r="B37" s="18" t="s">
        <v>3935</v>
      </c>
      <c r="C37" s="17" t="s">
        <v>3944</v>
      </c>
      <c r="D37" s="17" t="s">
        <v>3945</v>
      </c>
    </row>
    <row r="38" customFormat="false" ht="15" hidden="false" customHeight="false" outlineLevel="0" collapsed="false">
      <c r="A38" s="15" t="s">
        <v>3946</v>
      </c>
      <c r="B38" s="16" t="s">
        <v>3935</v>
      </c>
      <c r="C38" s="15" t="s">
        <v>3947</v>
      </c>
      <c r="D38" s="15" t="s">
        <v>3948</v>
      </c>
    </row>
    <row r="39" customFormat="false" ht="15" hidden="false" customHeight="false" outlineLevel="0" collapsed="false">
      <c r="A39" s="17" t="s">
        <v>3949</v>
      </c>
      <c r="B39" s="18" t="s">
        <v>3935</v>
      </c>
      <c r="C39" s="17" t="s">
        <v>3950</v>
      </c>
      <c r="D39" s="17" t="s">
        <v>3951</v>
      </c>
    </row>
    <row r="40" customFormat="false" ht="15" hidden="false" customHeight="false" outlineLevel="0" collapsed="false">
      <c r="A40" s="15" t="s">
        <v>3952</v>
      </c>
      <c r="B40" s="16" t="s">
        <v>3953</v>
      </c>
      <c r="C40" s="15" t="s">
        <v>3954</v>
      </c>
      <c r="D40" s="15" t="s">
        <v>3955</v>
      </c>
    </row>
    <row r="41" customFormat="false" ht="23.85" hidden="false" customHeight="false" outlineLevel="0" collapsed="false">
      <c r="A41" s="17" t="s">
        <v>3956</v>
      </c>
      <c r="B41" s="18" t="s">
        <v>2756</v>
      </c>
      <c r="C41" s="17" t="s">
        <v>3957</v>
      </c>
      <c r="D41" s="17" t="s">
        <v>3917</v>
      </c>
    </row>
    <row r="42" customFormat="false" ht="15" hidden="false" customHeight="false" outlineLevel="0" collapsed="false">
      <c r="A42" s="15" t="s">
        <v>3958</v>
      </c>
      <c r="B42" s="16" t="s">
        <v>2756</v>
      </c>
      <c r="C42" s="15" t="s">
        <v>3959</v>
      </c>
      <c r="D42" s="15" t="s">
        <v>3960</v>
      </c>
    </row>
    <row r="43" customFormat="false" ht="15" hidden="false" customHeight="false" outlineLevel="0" collapsed="false">
      <c r="A43" s="17" t="s">
        <v>3961</v>
      </c>
      <c r="B43" s="18" t="s">
        <v>2756</v>
      </c>
      <c r="C43" s="17" t="s">
        <v>3962</v>
      </c>
      <c r="D43" s="17" t="s">
        <v>3963</v>
      </c>
    </row>
    <row r="44" customFormat="false" ht="15" hidden="false" customHeight="false" outlineLevel="0" collapsed="false">
      <c r="A44" s="15" t="s">
        <v>3964</v>
      </c>
      <c r="B44" s="16" t="s">
        <v>3965</v>
      </c>
      <c r="C44" s="15" t="s">
        <v>3966</v>
      </c>
      <c r="D44" s="15" t="s">
        <v>3967</v>
      </c>
    </row>
    <row r="45" customFormat="false" ht="15" hidden="false" customHeight="false" outlineLevel="0" collapsed="false">
      <c r="A45" s="17" t="s">
        <v>3968</v>
      </c>
      <c r="B45" s="18" t="s">
        <v>3965</v>
      </c>
      <c r="C45" s="17" t="s">
        <v>3969</v>
      </c>
      <c r="D45" s="17" t="s">
        <v>3970</v>
      </c>
    </row>
    <row r="46" customFormat="false" ht="15" hidden="false" customHeight="false" outlineLevel="0" collapsed="false">
      <c r="A46" s="15" t="s">
        <v>3971</v>
      </c>
      <c r="B46" s="16" t="s">
        <v>3972</v>
      </c>
      <c r="C46" s="15" t="s">
        <v>3973</v>
      </c>
      <c r="D46" s="15" t="s">
        <v>3974</v>
      </c>
    </row>
    <row r="47" customFormat="false" ht="15" hidden="false" customHeight="false" outlineLevel="0" collapsed="false">
      <c r="A47" s="17" t="s">
        <v>3975</v>
      </c>
      <c r="B47" s="18" t="s">
        <v>3972</v>
      </c>
      <c r="C47" s="17" t="s">
        <v>3976</v>
      </c>
      <c r="D47" s="17" t="s">
        <v>3977</v>
      </c>
    </row>
    <row r="48" customFormat="false" ht="15" hidden="false" customHeight="false" outlineLevel="0" collapsed="false">
      <c r="A48" s="15" t="s">
        <v>3978</v>
      </c>
      <c r="B48" s="16" t="s">
        <v>3979</v>
      </c>
      <c r="C48" s="15" t="s">
        <v>3980</v>
      </c>
      <c r="D48" s="15" t="s">
        <v>3981</v>
      </c>
    </row>
    <row r="49" customFormat="false" ht="15" hidden="false" customHeight="false" outlineLevel="0" collapsed="false">
      <c r="A49" s="17" t="s">
        <v>3982</v>
      </c>
      <c r="B49" s="18" t="s">
        <v>1561</v>
      </c>
      <c r="C49" s="17" t="s">
        <v>3983</v>
      </c>
      <c r="D49" s="17" t="s">
        <v>3984</v>
      </c>
    </row>
    <row r="50" customFormat="false" ht="23.85" hidden="false" customHeight="false" outlineLevel="0" collapsed="false">
      <c r="A50" s="15" t="s">
        <v>3985</v>
      </c>
      <c r="B50" s="16" t="s">
        <v>1048</v>
      </c>
      <c r="C50" s="15" t="s">
        <v>3986</v>
      </c>
      <c r="D50" s="15" t="s">
        <v>3987</v>
      </c>
    </row>
    <row r="51" customFormat="false" ht="15" hidden="false" customHeight="false" outlineLevel="0" collapsed="false">
      <c r="A51" s="17" t="s">
        <v>3988</v>
      </c>
      <c r="B51" s="18" t="s">
        <v>3989</v>
      </c>
      <c r="C51" s="17" t="s">
        <v>3990</v>
      </c>
      <c r="D51" s="17" t="s">
        <v>3991</v>
      </c>
    </row>
    <row r="52" customFormat="false" ht="23.85" hidden="false" customHeight="false" outlineLevel="0" collapsed="false">
      <c r="A52" s="15" t="s">
        <v>3992</v>
      </c>
      <c r="B52" s="16" t="s">
        <v>1167</v>
      </c>
      <c r="C52" s="15" t="s">
        <v>3993</v>
      </c>
      <c r="D52" s="15" t="s">
        <v>3994</v>
      </c>
    </row>
    <row r="53" customFormat="false" ht="15" hidden="false" customHeight="false" outlineLevel="0" collapsed="false">
      <c r="A53" s="17" t="s">
        <v>3995</v>
      </c>
      <c r="B53" s="18" t="s">
        <v>3660</v>
      </c>
      <c r="C53" s="17" t="s">
        <v>3996</v>
      </c>
      <c r="D53" s="17" t="s">
        <v>3997</v>
      </c>
    </row>
    <row r="54" customFormat="false" ht="15" hidden="false" customHeight="false" outlineLevel="0" collapsed="false">
      <c r="A54" s="15" t="s">
        <v>3998</v>
      </c>
      <c r="B54" s="16" t="s">
        <v>3999</v>
      </c>
      <c r="C54" s="15" t="s">
        <v>4000</v>
      </c>
      <c r="D54" s="15" t="s">
        <v>4001</v>
      </c>
    </row>
    <row r="55" customFormat="false" ht="15" hidden="false" customHeight="false" outlineLevel="0" collapsed="false">
      <c r="A55" s="17" t="s">
        <v>4002</v>
      </c>
      <c r="B55" s="18" t="s">
        <v>3522</v>
      </c>
      <c r="C55" s="17" t="s">
        <v>4003</v>
      </c>
      <c r="D55" s="17" t="s">
        <v>4004</v>
      </c>
    </row>
  </sheetData>
  <autoFilter ref="A1:D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5" min="5" style="0" width="46"/>
  </cols>
  <sheetData>
    <row r="1" customFormat="false" ht="31.5" hidden="false" customHeight="true" outlineLevel="0" collapsed="false">
      <c r="A1" s="14" t="s">
        <v>69</v>
      </c>
      <c r="B1" s="14" t="s">
        <v>1890</v>
      </c>
      <c r="C1" s="14" t="s">
        <v>4005</v>
      </c>
      <c r="D1" s="14" t="s">
        <v>4006</v>
      </c>
      <c r="E1" s="14" t="s">
        <v>4007</v>
      </c>
    </row>
    <row r="2" customFormat="false" ht="15" hidden="false" customHeight="false" outlineLevel="0" collapsed="false">
      <c r="A2" s="15" t="s">
        <v>4008</v>
      </c>
      <c r="B2" s="16" t="s">
        <v>34</v>
      </c>
      <c r="C2" s="15" t="s">
        <v>4009</v>
      </c>
      <c r="D2" s="15" t="s">
        <v>4010</v>
      </c>
      <c r="E2" s="15" t="s">
        <v>4011</v>
      </c>
    </row>
    <row r="3" customFormat="false" ht="15" hidden="false" customHeight="false" outlineLevel="0" collapsed="false">
      <c r="A3" s="17" t="s">
        <v>4012</v>
      </c>
      <c r="B3" s="18" t="s">
        <v>4013</v>
      </c>
      <c r="C3" s="17" t="s">
        <v>34</v>
      </c>
      <c r="D3" s="17" t="s">
        <v>4014</v>
      </c>
      <c r="E3" s="17" t="s">
        <v>4015</v>
      </c>
    </row>
    <row r="4" customFormat="false" ht="15" hidden="false" customHeight="false" outlineLevel="0" collapsed="false">
      <c r="A4" s="15" t="s">
        <v>4016</v>
      </c>
      <c r="B4" s="16" t="s">
        <v>4017</v>
      </c>
      <c r="C4" s="15" t="s">
        <v>34</v>
      </c>
      <c r="D4" s="15" t="s">
        <v>4018</v>
      </c>
      <c r="E4" s="15" t="s">
        <v>4019</v>
      </c>
    </row>
    <row r="5" customFormat="false" ht="15" hidden="false" customHeight="false" outlineLevel="0" collapsed="false">
      <c r="A5" s="17" t="s">
        <v>4020</v>
      </c>
      <c r="B5" s="18" t="s">
        <v>4021</v>
      </c>
      <c r="C5" s="17" t="s">
        <v>34</v>
      </c>
      <c r="D5" s="17" t="s">
        <v>4022</v>
      </c>
      <c r="E5" s="17" t="s">
        <v>4023</v>
      </c>
    </row>
    <row r="6" customFormat="false" ht="15" hidden="false" customHeight="false" outlineLevel="0" collapsed="false">
      <c r="A6" s="15" t="s">
        <v>4024</v>
      </c>
      <c r="B6" s="16" t="s">
        <v>4025</v>
      </c>
      <c r="C6" s="15" t="s">
        <v>34</v>
      </c>
      <c r="D6" s="15" t="s">
        <v>4026</v>
      </c>
      <c r="E6" s="15" t="s">
        <v>4027</v>
      </c>
    </row>
    <row r="7" customFormat="false" ht="15" hidden="false" customHeight="false" outlineLevel="0" collapsed="false">
      <c r="A7" s="17" t="s">
        <v>4028</v>
      </c>
      <c r="B7" s="18" t="s">
        <v>1985</v>
      </c>
      <c r="C7" s="17" t="s">
        <v>34</v>
      </c>
      <c r="D7" s="17" t="s">
        <v>4029</v>
      </c>
      <c r="E7" s="17" t="s">
        <v>4030</v>
      </c>
    </row>
    <row r="8" customFormat="false" ht="15" hidden="false" customHeight="false" outlineLevel="0" collapsed="false">
      <c r="A8" s="15" t="s">
        <v>4031</v>
      </c>
      <c r="B8" s="16" t="s">
        <v>1924</v>
      </c>
      <c r="C8" s="15" t="s">
        <v>4009</v>
      </c>
      <c r="D8" s="15" t="s">
        <v>4032</v>
      </c>
      <c r="E8" s="15" t="s">
        <v>4033</v>
      </c>
    </row>
    <row r="9" customFormat="false" ht="23.85" hidden="false" customHeight="false" outlineLevel="0" collapsed="false">
      <c r="A9" s="17" t="s">
        <v>4034</v>
      </c>
      <c r="B9" s="18" t="s">
        <v>4035</v>
      </c>
      <c r="C9" s="17" t="s">
        <v>4036</v>
      </c>
      <c r="D9" s="17" t="s">
        <v>4037</v>
      </c>
      <c r="E9" s="17" t="s">
        <v>4038</v>
      </c>
    </row>
    <row r="10" customFormat="false" ht="15" hidden="false" customHeight="false" outlineLevel="0" collapsed="false">
      <c r="A10" s="15" t="s">
        <v>4039</v>
      </c>
      <c r="B10" s="16" t="s">
        <v>38</v>
      </c>
      <c r="C10" s="15" t="s">
        <v>4040</v>
      </c>
      <c r="D10" s="15" t="s">
        <v>4041</v>
      </c>
      <c r="E10" s="15" t="s">
        <v>4042</v>
      </c>
    </row>
    <row r="11" customFormat="false" ht="15" hidden="false" customHeight="false" outlineLevel="0" collapsed="false">
      <c r="A11" s="17" t="s">
        <v>4043</v>
      </c>
      <c r="B11" s="18" t="s">
        <v>4044</v>
      </c>
      <c r="C11" s="17" t="s">
        <v>4040</v>
      </c>
      <c r="D11" s="17" t="s">
        <v>4045</v>
      </c>
      <c r="E11" s="17" t="s">
        <v>788</v>
      </c>
    </row>
    <row r="12" customFormat="false" ht="15" hidden="false" customHeight="false" outlineLevel="0" collapsed="false">
      <c r="A12" s="15" t="s">
        <v>4046</v>
      </c>
      <c r="B12" s="16" t="s">
        <v>4047</v>
      </c>
      <c r="C12" s="15" t="s">
        <v>4036</v>
      </c>
      <c r="D12" s="15" t="s">
        <v>4048</v>
      </c>
      <c r="E12" s="15" t="s">
        <v>1732</v>
      </c>
    </row>
    <row r="13" customFormat="false" ht="15" hidden="false" customHeight="false" outlineLevel="0" collapsed="false">
      <c r="A13" s="17" t="s">
        <v>4049</v>
      </c>
      <c r="B13" s="18" t="s">
        <v>1967</v>
      </c>
      <c r="C13" s="17" t="s">
        <v>4009</v>
      </c>
      <c r="D13" s="17" t="s">
        <v>4050</v>
      </c>
      <c r="E13" s="17" t="s">
        <v>4051</v>
      </c>
    </row>
    <row r="14" customFormat="false" ht="15" hidden="false" customHeight="false" outlineLevel="0" collapsed="false">
      <c r="A14" s="15" t="s">
        <v>4052</v>
      </c>
      <c r="B14" s="16" t="s">
        <v>4053</v>
      </c>
      <c r="C14" s="15" t="s">
        <v>4009</v>
      </c>
      <c r="D14" s="15" t="s">
        <v>4054</v>
      </c>
      <c r="E14" s="15" t="s">
        <v>4055</v>
      </c>
    </row>
    <row r="15" customFormat="false" ht="15" hidden="false" customHeight="false" outlineLevel="0" collapsed="false">
      <c r="A15" s="17" t="s">
        <v>4056</v>
      </c>
      <c r="B15" s="18" t="s">
        <v>4057</v>
      </c>
      <c r="C15" s="17" t="s">
        <v>2007</v>
      </c>
      <c r="D15" s="17" t="s">
        <v>4058</v>
      </c>
      <c r="E15" s="17" t="s">
        <v>4059</v>
      </c>
    </row>
    <row r="16" customFormat="false" ht="15" hidden="false" customHeight="false" outlineLevel="0" collapsed="false">
      <c r="A16" s="15" t="s">
        <v>4060</v>
      </c>
      <c r="B16" s="16" t="s">
        <v>4061</v>
      </c>
      <c r="C16" s="15" t="s">
        <v>2007</v>
      </c>
      <c r="D16" s="15" t="s">
        <v>4062</v>
      </c>
      <c r="E16" s="15" t="s">
        <v>4063</v>
      </c>
    </row>
    <row r="17" customFormat="false" ht="15" hidden="false" customHeight="false" outlineLevel="0" collapsed="false">
      <c r="A17" s="17" t="s">
        <v>4064</v>
      </c>
      <c r="B17" s="18" t="s">
        <v>2013</v>
      </c>
      <c r="C17" s="17" t="s">
        <v>37</v>
      </c>
      <c r="D17" s="17" t="s">
        <v>4065</v>
      </c>
      <c r="E17" s="17" t="s">
        <v>4066</v>
      </c>
    </row>
    <row r="18" customFormat="false" ht="15" hidden="false" customHeight="false" outlineLevel="0" collapsed="false">
      <c r="A18" s="15" t="s">
        <v>4067</v>
      </c>
      <c r="B18" s="16" t="s">
        <v>2022</v>
      </c>
      <c r="C18" s="15" t="s">
        <v>2013</v>
      </c>
      <c r="D18" s="15" t="s">
        <v>4068</v>
      </c>
      <c r="E18" s="15" t="s">
        <v>4069</v>
      </c>
    </row>
    <row r="19" customFormat="false" ht="15" hidden="false" customHeight="false" outlineLevel="0" collapsed="false">
      <c r="A19" s="17" t="s">
        <v>4070</v>
      </c>
      <c r="B19" s="18" t="s">
        <v>4071</v>
      </c>
      <c r="C19" s="17" t="s">
        <v>37</v>
      </c>
      <c r="D19" s="17" t="s">
        <v>4072</v>
      </c>
      <c r="E19" s="17" t="s">
        <v>4073</v>
      </c>
    </row>
    <row r="20" customFormat="false" ht="15" hidden="false" customHeight="false" outlineLevel="0" collapsed="false">
      <c r="A20" s="15" t="s">
        <v>4074</v>
      </c>
      <c r="B20" s="16" t="s">
        <v>4075</v>
      </c>
      <c r="C20" s="15" t="s">
        <v>4076</v>
      </c>
      <c r="D20" s="15" t="s">
        <v>4077</v>
      </c>
      <c r="E20" s="15" t="s">
        <v>4078</v>
      </c>
    </row>
    <row r="21" customFormat="false" ht="15" hidden="false" customHeight="false" outlineLevel="0" collapsed="false">
      <c r="A21" s="17" t="s">
        <v>4079</v>
      </c>
      <c r="B21" s="18" t="s">
        <v>4080</v>
      </c>
      <c r="C21" s="17" t="s">
        <v>4009</v>
      </c>
      <c r="D21" s="17" t="s">
        <v>4081</v>
      </c>
      <c r="E21" s="17" t="s">
        <v>4082</v>
      </c>
    </row>
    <row r="22" customFormat="false" ht="15" hidden="false" customHeight="false" outlineLevel="0" collapsed="false">
      <c r="A22" s="15" t="s">
        <v>4083</v>
      </c>
      <c r="B22" s="16" t="s">
        <v>4084</v>
      </c>
      <c r="C22" s="15" t="s">
        <v>2037</v>
      </c>
      <c r="D22" s="15" t="s">
        <v>4085</v>
      </c>
      <c r="E22" s="15" t="s">
        <v>4086</v>
      </c>
    </row>
    <row r="23" customFormat="false" ht="15" hidden="false" customHeight="false" outlineLevel="0" collapsed="false">
      <c r="A23" s="17" t="s">
        <v>4087</v>
      </c>
      <c r="B23" s="18" t="s">
        <v>4088</v>
      </c>
      <c r="C23" s="17" t="s">
        <v>4009</v>
      </c>
      <c r="D23" s="17" t="s">
        <v>4089</v>
      </c>
      <c r="E23" s="17" t="s">
        <v>4090</v>
      </c>
    </row>
    <row r="24" customFormat="false" ht="15" hidden="false" customHeight="false" outlineLevel="0" collapsed="false">
      <c r="A24" s="15" t="s">
        <v>4091</v>
      </c>
      <c r="B24" s="16" t="s">
        <v>4092</v>
      </c>
      <c r="C24" s="15" t="s">
        <v>4009</v>
      </c>
      <c r="D24" s="15" t="s">
        <v>4093</v>
      </c>
      <c r="E24" s="15" t="s">
        <v>31</v>
      </c>
    </row>
    <row r="25" customFormat="false" ht="15" hidden="false" customHeight="false" outlineLevel="0" collapsed="false">
      <c r="A25" s="17" t="s">
        <v>4094</v>
      </c>
      <c r="B25" s="18" t="s">
        <v>40</v>
      </c>
      <c r="C25" s="17" t="s">
        <v>4095</v>
      </c>
      <c r="D25" s="17" t="s">
        <v>4096</v>
      </c>
      <c r="E25" s="17" t="s">
        <v>4097</v>
      </c>
    </row>
    <row r="26" customFormat="false" ht="15" hidden="false" customHeight="false" outlineLevel="0" collapsed="false">
      <c r="A26" s="15" t="s">
        <v>4098</v>
      </c>
      <c r="B26" s="16" t="s">
        <v>39</v>
      </c>
      <c r="C26" s="15" t="s">
        <v>4095</v>
      </c>
      <c r="D26" s="15" t="s">
        <v>4099</v>
      </c>
      <c r="E26" s="15" t="s">
        <v>4100</v>
      </c>
    </row>
    <row r="27" customFormat="false" ht="15" hidden="false" customHeight="false" outlineLevel="0" collapsed="false">
      <c r="A27" s="17" t="s">
        <v>4101</v>
      </c>
      <c r="B27" s="18" t="s">
        <v>2110</v>
      </c>
      <c r="C27" s="17" t="s">
        <v>39</v>
      </c>
      <c r="D27" s="17" t="s">
        <v>4102</v>
      </c>
      <c r="E27" s="17" t="s">
        <v>4103</v>
      </c>
    </row>
    <row r="28" customFormat="false" ht="15" hidden="false" customHeight="false" outlineLevel="0" collapsed="false">
      <c r="A28" s="15" t="s">
        <v>4104</v>
      </c>
      <c r="B28" s="16" t="s">
        <v>4105</v>
      </c>
      <c r="C28" s="15" t="s">
        <v>2110</v>
      </c>
      <c r="D28" s="15" t="s">
        <v>4106</v>
      </c>
      <c r="E28" s="15" t="s">
        <v>4107</v>
      </c>
    </row>
    <row r="29" customFormat="false" ht="15" hidden="false" customHeight="false" outlineLevel="0" collapsed="false">
      <c r="A29" s="17" t="s">
        <v>4108</v>
      </c>
      <c r="B29" s="18" t="s">
        <v>4109</v>
      </c>
      <c r="C29" s="17" t="s">
        <v>39</v>
      </c>
      <c r="D29" s="17" t="s">
        <v>4110</v>
      </c>
      <c r="E29" s="17" t="s">
        <v>4111</v>
      </c>
    </row>
    <row r="30" customFormat="false" ht="15" hidden="false" customHeight="false" outlineLevel="0" collapsed="false">
      <c r="A30" s="15" t="s">
        <v>4112</v>
      </c>
      <c r="B30" s="16" t="s">
        <v>4113</v>
      </c>
      <c r="C30" s="15" t="s">
        <v>39</v>
      </c>
      <c r="D30" s="15" t="s">
        <v>4114</v>
      </c>
      <c r="E30" s="15" t="s">
        <v>4115</v>
      </c>
    </row>
    <row r="31" customFormat="false" ht="15" hidden="false" customHeight="false" outlineLevel="0" collapsed="false">
      <c r="A31" s="17" t="s">
        <v>4116</v>
      </c>
      <c r="B31" s="18" t="s">
        <v>4117</v>
      </c>
      <c r="C31" s="17" t="s">
        <v>37</v>
      </c>
      <c r="D31" s="17" t="s">
        <v>4118</v>
      </c>
      <c r="E31" s="17" t="s">
        <v>4119</v>
      </c>
    </row>
    <row r="32" customFormat="false" ht="15" hidden="false" customHeight="false" outlineLevel="0" collapsed="false">
      <c r="A32" s="15" t="s">
        <v>4120</v>
      </c>
      <c r="B32" s="16" t="s">
        <v>4121</v>
      </c>
      <c r="C32" s="15" t="s">
        <v>4095</v>
      </c>
      <c r="D32" s="15" t="s">
        <v>4122</v>
      </c>
      <c r="E32" s="15" t="s">
        <v>4123</v>
      </c>
    </row>
    <row r="33" customFormat="false" ht="15" hidden="false" customHeight="false" outlineLevel="0" collapsed="false">
      <c r="A33" s="17" t="s">
        <v>4124</v>
      </c>
      <c r="B33" s="18" t="s">
        <v>4125</v>
      </c>
      <c r="C33" s="17" t="s">
        <v>4126</v>
      </c>
      <c r="D33" s="17" t="s">
        <v>4127</v>
      </c>
      <c r="E33" s="17" t="s">
        <v>4128</v>
      </c>
    </row>
    <row r="34" customFormat="false" ht="15" hidden="false" customHeight="false" outlineLevel="0" collapsed="false">
      <c r="A34" s="15" t="s">
        <v>4129</v>
      </c>
      <c r="B34" s="16" t="s">
        <v>4130</v>
      </c>
      <c r="C34" s="15" t="s">
        <v>4126</v>
      </c>
      <c r="D34" s="15" t="s">
        <v>4131</v>
      </c>
      <c r="E34" s="15" t="s">
        <v>4132</v>
      </c>
    </row>
    <row r="35" customFormat="false" ht="15" hidden="false" customHeight="false" outlineLevel="0" collapsed="false">
      <c r="A35" s="17" t="s">
        <v>4133</v>
      </c>
      <c r="B35" s="18" t="s">
        <v>4134</v>
      </c>
      <c r="C35" s="17" t="s">
        <v>4135</v>
      </c>
      <c r="D35" s="17" t="s">
        <v>4136</v>
      </c>
      <c r="E35" s="17" t="s">
        <v>4137</v>
      </c>
    </row>
    <row r="36" customFormat="false" ht="15" hidden="false" customHeight="false" outlineLevel="0" collapsed="false">
      <c r="A36" s="15" t="s">
        <v>4138</v>
      </c>
      <c r="B36" s="16" t="s">
        <v>4139</v>
      </c>
      <c r="C36" s="15" t="s">
        <v>4140</v>
      </c>
      <c r="D36" s="15" t="s">
        <v>4141</v>
      </c>
      <c r="E36" s="15" t="s">
        <v>4142</v>
      </c>
    </row>
    <row r="37" customFormat="false" ht="15" hidden="false" customHeight="false" outlineLevel="0" collapsed="false">
      <c r="A37" s="17" t="s">
        <v>4143</v>
      </c>
      <c r="B37" s="18" t="s">
        <v>4144</v>
      </c>
      <c r="C37" s="17" t="s">
        <v>35</v>
      </c>
      <c r="D37" s="17" t="s">
        <v>4145</v>
      </c>
      <c r="E37" s="17" t="s">
        <v>586</v>
      </c>
    </row>
    <row r="38" customFormat="false" ht="15" hidden="false" customHeight="false" outlineLevel="0" collapsed="false">
      <c r="A38" s="15" t="s">
        <v>4146</v>
      </c>
      <c r="B38" s="16" t="s">
        <v>4147</v>
      </c>
      <c r="C38" s="15" t="s">
        <v>35</v>
      </c>
      <c r="D38" s="15" t="s">
        <v>4148</v>
      </c>
      <c r="E38" s="15" t="s">
        <v>4149</v>
      </c>
    </row>
    <row r="39" customFormat="false" ht="15" hidden="false" customHeight="false" outlineLevel="0" collapsed="false">
      <c r="A39" s="17" t="s">
        <v>4150</v>
      </c>
      <c r="B39" s="18" t="s">
        <v>4151</v>
      </c>
      <c r="C39" s="17" t="s">
        <v>35</v>
      </c>
      <c r="D39" s="17" t="s">
        <v>4152</v>
      </c>
      <c r="E39" s="17" t="s">
        <v>571</v>
      </c>
    </row>
    <row r="40" customFormat="false" ht="15" hidden="false" customHeight="false" outlineLevel="0" collapsed="false">
      <c r="A40" s="15" t="s">
        <v>4153</v>
      </c>
      <c r="B40" s="16" t="s">
        <v>4154</v>
      </c>
      <c r="C40" s="15" t="s">
        <v>35</v>
      </c>
      <c r="D40" s="15" t="s">
        <v>4155</v>
      </c>
      <c r="E40" s="15" t="s">
        <v>4156</v>
      </c>
    </row>
    <row r="41" customFormat="false" ht="15" hidden="false" customHeight="false" outlineLevel="0" collapsed="false">
      <c r="A41" s="17" t="s">
        <v>4157</v>
      </c>
      <c r="B41" s="18" t="s">
        <v>4158</v>
      </c>
      <c r="C41" s="17" t="s">
        <v>4159</v>
      </c>
      <c r="D41" s="17" t="s">
        <v>4160</v>
      </c>
      <c r="E41" s="17" t="s">
        <v>609</v>
      </c>
    </row>
    <row r="42" customFormat="false" ht="15" hidden="false" customHeight="false" outlineLevel="0" collapsed="false">
      <c r="A42" s="15" t="s">
        <v>4161</v>
      </c>
      <c r="B42" s="16" t="s">
        <v>4162</v>
      </c>
      <c r="C42" s="15" t="s">
        <v>4159</v>
      </c>
      <c r="D42" s="15" t="s">
        <v>4163</v>
      </c>
      <c r="E42" s="15" t="s">
        <v>4164</v>
      </c>
    </row>
    <row r="43" customFormat="false" ht="15" hidden="false" customHeight="false" outlineLevel="0" collapsed="false">
      <c r="A43" s="17" t="s">
        <v>4165</v>
      </c>
      <c r="B43" s="18" t="s">
        <v>4166</v>
      </c>
      <c r="C43" s="17" t="s">
        <v>4167</v>
      </c>
      <c r="D43" s="17" t="s">
        <v>4168</v>
      </c>
      <c r="E43" s="17" t="s">
        <v>4169</v>
      </c>
    </row>
    <row r="44" customFormat="false" ht="15" hidden="false" customHeight="false" outlineLevel="0" collapsed="false">
      <c r="A44" s="15" t="s">
        <v>4170</v>
      </c>
      <c r="B44" s="16" t="s">
        <v>4171</v>
      </c>
      <c r="C44" s="15" t="s">
        <v>4167</v>
      </c>
      <c r="D44" s="15" t="s">
        <v>4172</v>
      </c>
      <c r="E44" s="15" t="s">
        <v>4173</v>
      </c>
    </row>
    <row r="45" customFormat="false" ht="15" hidden="false" customHeight="false" outlineLevel="0" collapsed="false">
      <c r="A45" s="17" t="s">
        <v>4174</v>
      </c>
      <c r="B45" s="18" t="s">
        <v>4175</v>
      </c>
      <c r="C45" s="17" t="s">
        <v>4167</v>
      </c>
      <c r="D45" s="17" t="s">
        <v>4176</v>
      </c>
      <c r="E45" s="17" t="s">
        <v>4177</v>
      </c>
    </row>
    <row r="46" customFormat="false" ht="15" hidden="false" customHeight="false" outlineLevel="0" collapsed="false">
      <c r="A46" s="15" t="s">
        <v>4178</v>
      </c>
      <c r="B46" s="16" t="s">
        <v>4179</v>
      </c>
      <c r="C46" s="15" t="s">
        <v>4167</v>
      </c>
      <c r="D46" s="15" t="s">
        <v>4180</v>
      </c>
      <c r="E46" s="15" t="s">
        <v>4181</v>
      </c>
    </row>
    <row r="47" customFormat="false" ht="23.85" hidden="false" customHeight="false" outlineLevel="0" collapsed="false">
      <c r="A47" s="17" t="s">
        <v>4182</v>
      </c>
      <c r="B47" s="18" t="s">
        <v>4183</v>
      </c>
      <c r="C47" s="17" t="s">
        <v>44</v>
      </c>
      <c r="D47" s="17" t="s">
        <v>4184</v>
      </c>
      <c r="E47" s="17" t="s">
        <v>4185</v>
      </c>
    </row>
    <row r="48" customFormat="false" ht="15" hidden="false" customHeight="false" outlineLevel="0" collapsed="false">
      <c r="A48" s="15" t="s">
        <v>4186</v>
      </c>
      <c r="B48" s="16" t="s">
        <v>44</v>
      </c>
      <c r="C48" s="15" t="s">
        <v>44</v>
      </c>
      <c r="D48" s="15" t="s">
        <v>4187</v>
      </c>
      <c r="E48" s="15" t="s">
        <v>4188</v>
      </c>
    </row>
    <row r="49" customFormat="false" ht="15" hidden="false" customHeight="false" outlineLevel="0" collapsed="false">
      <c r="A49" s="17" t="s">
        <v>4189</v>
      </c>
      <c r="B49" s="18" t="s">
        <v>4190</v>
      </c>
      <c r="C49" s="17" t="s">
        <v>4191</v>
      </c>
      <c r="D49" s="17" t="s">
        <v>4192</v>
      </c>
      <c r="E49" s="17" t="s">
        <v>4193</v>
      </c>
    </row>
    <row r="50" customFormat="false" ht="15" hidden="false" customHeight="false" outlineLevel="0" collapsed="false">
      <c r="A50" s="15" t="s">
        <v>4194</v>
      </c>
      <c r="B50" s="16" t="s">
        <v>4195</v>
      </c>
      <c r="C50" s="15" t="s">
        <v>4191</v>
      </c>
      <c r="D50" s="15" t="s">
        <v>4196</v>
      </c>
      <c r="E50" s="15" t="s">
        <v>4197</v>
      </c>
    </row>
    <row r="51" customFormat="false" ht="15" hidden="false" customHeight="false" outlineLevel="0" collapsed="false">
      <c r="A51" s="17" t="s">
        <v>4198</v>
      </c>
      <c r="B51" s="18" t="s">
        <v>4199</v>
      </c>
      <c r="C51" s="17" t="s">
        <v>4191</v>
      </c>
      <c r="D51" s="17" t="s">
        <v>4200</v>
      </c>
      <c r="E51" s="17" t="s">
        <v>4201</v>
      </c>
    </row>
  </sheetData>
  <autoFilter ref="A1:E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4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56"/>
    <col collapsed="false" customWidth="true" hidden="false" outlineLevel="0" max="8" min="8" style="0" width="42"/>
  </cols>
  <sheetData>
    <row r="1" customFormat="false" ht="31.5" hidden="false" customHeight="true" outlineLevel="0" collapsed="false">
      <c r="A1" s="14" t="s">
        <v>69</v>
      </c>
      <c r="B1" s="14" t="s">
        <v>4202</v>
      </c>
      <c r="C1" s="14" t="s">
        <v>4203</v>
      </c>
      <c r="D1" s="14" t="s">
        <v>4204</v>
      </c>
      <c r="E1" s="14" t="s">
        <v>4205</v>
      </c>
      <c r="F1" s="14" t="s">
        <v>4206</v>
      </c>
      <c r="G1" s="14" t="s">
        <v>4207</v>
      </c>
      <c r="H1" s="14" t="s">
        <v>4208</v>
      </c>
    </row>
    <row r="2" customFormat="false" ht="35.05" hidden="false" customHeight="false" outlineLevel="0" collapsed="false">
      <c r="A2" s="15" t="s">
        <v>4209</v>
      </c>
      <c r="B2" s="16" t="s">
        <v>4210</v>
      </c>
      <c r="C2" s="15" t="s">
        <v>4211</v>
      </c>
      <c r="D2" s="15" t="s">
        <v>4212</v>
      </c>
      <c r="E2" s="15" t="s">
        <v>4213</v>
      </c>
      <c r="F2" s="15" t="s">
        <v>4214</v>
      </c>
      <c r="G2" s="15" t="s">
        <v>4215</v>
      </c>
      <c r="H2" s="15" t="s">
        <v>4216</v>
      </c>
    </row>
    <row r="3" customFormat="false" ht="23.85" hidden="false" customHeight="false" outlineLevel="0" collapsed="false">
      <c r="A3" s="17" t="s">
        <v>4217</v>
      </c>
      <c r="B3" s="18" t="s">
        <v>4218</v>
      </c>
      <c r="C3" s="17" t="s">
        <v>4219</v>
      </c>
      <c r="D3" s="17" t="s">
        <v>4220</v>
      </c>
      <c r="E3" s="17" t="s">
        <v>4221</v>
      </c>
      <c r="F3" s="17" t="s">
        <v>4222</v>
      </c>
      <c r="G3" s="17" t="s">
        <v>4223</v>
      </c>
      <c r="H3" s="17" t="s">
        <v>4224</v>
      </c>
    </row>
    <row r="4" customFormat="false" ht="23.85" hidden="false" customHeight="false" outlineLevel="0" collapsed="false">
      <c r="A4" s="15" t="s">
        <v>4225</v>
      </c>
      <c r="B4" s="16" t="s">
        <v>160</v>
      </c>
      <c r="C4" s="15" t="s">
        <v>4226</v>
      </c>
      <c r="D4" s="15" t="s">
        <v>4227</v>
      </c>
      <c r="E4" s="15" t="s">
        <v>4228</v>
      </c>
      <c r="F4" s="15" t="s">
        <v>4229</v>
      </c>
      <c r="G4" s="15" t="s">
        <v>4230</v>
      </c>
      <c r="H4" s="15" t="s">
        <v>4231</v>
      </c>
    </row>
    <row r="5" customFormat="false" ht="23.85" hidden="false" customHeight="false" outlineLevel="0" collapsed="false">
      <c r="A5" s="17" t="s">
        <v>4232</v>
      </c>
      <c r="B5" s="18" t="s">
        <v>197</v>
      </c>
      <c r="C5" s="17" t="s">
        <v>4233</v>
      </c>
      <c r="D5" s="17" t="s">
        <v>4234</v>
      </c>
      <c r="E5" s="17" t="s">
        <v>4235</v>
      </c>
      <c r="F5" s="17" t="s">
        <v>4236</v>
      </c>
      <c r="G5" s="17" t="s">
        <v>4237</v>
      </c>
      <c r="H5" s="17" t="s">
        <v>4238</v>
      </c>
    </row>
    <row r="6" customFormat="false" ht="35.05" hidden="false" customHeight="false" outlineLevel="0" collapsed="false">
      <c r="A6" s="15" t="s">
        <v>4239</v>
      </c>
      <c r="B6" s="16" t="s">
        <v>213</v>
      </c>
      <c r="C6" s="15" t="s">
        <v>4240</v>
      </c>
      <c r="D6" s="15" t="s">
        <v>4241</v>
      </c>
      <c r="E6" s="15" t="s">
        <v>4242</v>
      </c>
      <c r="F6" s="15" t="s">
        <v>4243</v>
      </c>
      <c r="G6" s="15" t="s">
        <v>4244</v>
      </c>
      <c r="H6" s="15" t="s">
        <v>4245</v>
      </c>
    </row>
    <row r="7" customFormat="false" ht="23.85" hidden="false" customHeight="false" outlineLevel="0" collapsed="false">
      <c r="A7" s="17" t="s">
        <v>4246</v>
      </c>
      <c r="B7" s="18" t="s">
        <v>317</v>
      </c>
      <c r="C7" s="17" t="s">
        <v>4247</v>
      </c>
      <c r="D7" s="17" t="s">
        <v>4248</v>
      </c>
      <c r="E7" s="17" t="s">
        <v>4249</v>
      </c>
      <c r="F7" s="17" t="s">
        <v>4250</v>
      </c>
      <c r="G7" s="17" t="s">
        <v>4251</v>
      </c>
      <c r="H7" s="17" t="s">
        <v>4252</v>
      </c>
    </row>
    <row r="8" customFormat="false" ht="23.85" hidden="false" customHeight="false" outlineLevel="0" collapsed="false">
      <c r="A8" s="15" t="s">
        <v>4253</v>
      </c>
      <c r="B8" s="16" t="s">
        <v>340</v>
      </c>
      <c r="C8" s="15" t="s">
        <v>4254</v>
      </c>
      <c r="D8" s="15" t="s">
        <v>4255</v>
      </c>
      <c r="E8" s="15" t="s">
        <v>4256</v>
      </c>
      <c r="F8" s="15" t="s">
        <v>4257</v>
      </c>
      <c r="G8" s="15" t="s">
        <v>4258</v>
      </c>
      <c r="H8" s="15" t="s">
        <v>4259</v>
      </c>
    </row>
    <row r="9" customFormat="false" ht="23.85" hidden="false" customHeight="false" outlineLevel="0" collapsed="false">
      <c r="A9" s="17" t="s">
        <v>4260</v>
      </c>
      <c r="B9" s="18" t="s">
        <v>348</v>
      </c>
      <c r="C9" s="17" t="s">
        <v>4261</v>
      </c>
      <c r="D9" s="17" t="s">
        <v>4262</v>
      </c>
      <c r="E9" s="17" t="s">
        <v>4263</v>
      </c>
      <c r="F9" s="17" t="s">
        <v>4264</v>
      </c>
      <c r="G9" s="17" t="s">
        <v>4265</v>
      </c>
      <c r="H9" s="17" t="s">
        <v>4266</v>
      </c>
    </row>
    <row r="10" customFormat="false" ht="23.85" hidden="false" customHeight="false" outlineLevel="0" collapsed="false">
      <c r="A10" s="15" t="s">
        <v>4267</v>
      </c>
      <c r="B10" s="16" t="s">
        <v>4268</v>
      </c>
      <c r="C10" s="15" t="s">
        <v>4269</v>
      </c>
      <c r="D10" s="15" t="s">
        <v>4270</v>
      </c>
      <c r="E10" s="15" t="s">
        <v>4271</v>
      </c>
      <c r="F10" s="15" t="s">
        <v>4272</v>
      </c>
      <c r="G10" s="15" t="s">
        <v>4273</v>
      </c>
      <c r="H10" s="15" t="s">
        <v>4274</v>
      </c>
    </row>
    <row r="11" customFormat="false" ht="23.85" hidden="false" customHeight="false" outlineLevel="0" collapsed="false">
      <c r="A11" s="17" t="s">
        <v>4275</v>
      </c>
      <c r="B11" s="18" t="s">
        <v>4276</v>
      </c>
      <c r="C11" s="17" t="s">
        <v>4277</v>
      </c>
      <c r="D11" s="17" t="s">
        <v>4278</v>
      </c>
      <c r="E11" s="17" t="s">
        <v>4279</v>
      </c>
      <c r="F11" s="17" t="s">
        <v>4280</v>
      </c>
      <c r="G11" s="17" t="s">
        <v>4281</v>
      </c>
      <c r="H11" s="17" t="s">
        <v>4282</v>
      </c>
    </row>
    <row r="12" customFormat="false" ht="23.85" hidden="false" customHeight="false" outlineLevel="0" collapsed="false">
      <c r="A12" s="15" t="s">
        <v>4283</v>
      </c>
      <c r="B12" s="16" t="s">
        <v>572</v>
      </c>
      <c r="C12" s="15" t="s">
        <v>4284</v>
      </c>
      <c r="D12" s="15" t="s">
        <v>4285</v>
      </c>
      <c r="E12" s="15" t="s">
        <v>4286</v>
      </c>
      <c r="F12" s="15" t="s">
        <v>4287</v>
      </c>
      <c r="G12" s="15" t="s">
        <v>4288</v>
      </c>
      <c r="H12" s="15" t="s">
        <v>4289</v>
      </c>
    </row>
    <row r="13" customFormat="false" ht="15" hidden="false" customHeight="false" outlineLevel="0" collapsed="false">
      <c r="A13" s="17" t="s">
        <v>4290</v>
      </c>
      <c r="B13" s="18" t="s">
        <v>586</v>
      </c>
      <c r="C13" s="17" t="s">
        <v>4291</v>
      </c>
      <c r="D13" s="17" t="s">
        <v>4292</v>
      </c>
      <c r="E13" s="17" t="s">
        <v>4293</v>
      </c>
      <c r="F13" s="17" t="s">
        <v>4294</v>
      </c>
      <c r="G13" s="17" t="s">
        <v>4295</v>
      </c>
      <c r="H13" s="17" t="s">
        <v>4296</v>
      </c>
    </row>
    <row r="14" customFormat="false" ht="35.05" hidden="false" customHeight="false" outlineLevel="0" collapsed="false">
      <c r="A14" s="15" t="s">
        <v>4297</v>
      </c>
      <c r="B14" s="16" t="s">
        <v>4298</v>
      </c>
      <c r="C14" s="15" t="s">
        <v>4299</v>
      </c>
      <c r="D14" s="15" t="s">
        <v>4300</v>
      </c>
      <c r="E14" s="15" t="s">
        <v>4301</v>
      </c>
      <c r="F14" s="15" t="s">
        <v>4302</v>
      </c>
      <c r="G14" s="15" t="s">
        <v>4303</v>
      </c>
      <c r="H14" s="15" t="s">
        <v>4304</v>
      </c>
    </row>
    <row r="15" customFormat="false" ht="23.85" hidden="false" customHeight="false" outlineLevel="0" collapsed="false">
      <c r="A15" s="17" t="s">
        <v>4305</v>
      </c>
      <c r="B15" s="18" t="s">
        <v>501</v>
      </c>
      <c r="C15" s="17" t="s">
        <v>4306</v>
      </c>
      <c r="D15" s="17" t="s">
        <v>4307</v>
      </c>
      <c r="E15" s="17" t="s">
        <v>4308</v>
      </c>
      <c r="F15" s="17" t="s">
        <v>4309</v>
      </c>
      <c r="G15" s="17" t="s">
        <v>4310</v>
      </c>
      <c r="H15" s="17" t="s">
        <v>4311</v>
      </c>
    </row>
    <row r="16" customFormat="false" ht="23.85" hidden="false" customHeight="false" outlineLevel="0" collapsed="false">
      <c r="A16" s="15" t="s">
        <v>4312</v>
      </c>
      <c r="B16" s="16" t="s">
        <v>726</v>
      </c>
      <c r="C16" s="15" t="s">
        <v>4313</v>
      </c>
      <c r="D16" s="15" t="s">
        <v>4314</v>
      </c>
      <c r="E16" s="15" t="s">
        <v>4315</v>
      </c>
      <c r="F16" s="15" t="s">
        <v>4316</v>
      </c>
      <c r="G16" s="15" t="s">
        <v>4317</v>
      </c>
      <c r="H16" s="15" t="s">
        <v>4318</v>
      </c>
    </row>
    <row r="17" customFormat="false" ht="23.85" hidden="false" customHeight="false" outlineLevel="0" collapsed="false">
      <c r="A17" s="17" t="s">
        <v>4319</v>
      </c>
      <c r="B17" s="18" t="s">
        <v>795</v>
      </c>
      <c r="C17" s="17" t="s">
        <v>4320</v>
      </c>
      <c r="D17" s="17" t="s">
        <v>4321</v>
      </c>
      <c r="E17" s="17" t="s">
        <v>4322</v>
      </c>
      <c r="F17" s="17" t="s">
        <v>4323</v>
      </c>
      <c r="G17" s="17" t="s">
        <v>4324</v>
      </c>
      <c r="H17" s="17" t="s">
        <v>4325</v>
      </c>
    </row>
    <row r="18" customFormat="false" ht="23.85" hidden="false" customHeight="false" outlineLevel="0" collapsed="false">
      <c r="A18" s="15" t="s">
        <v>4326</v>
      </c>
      <c r="B18" s="16" t="s">
        <v>4327</v>
      </c>
      <c r="C18" s="15" t="s">
        <v>4328</v>
      </c>
      <c r="D18" s="15" t="s">
        <v>4329</v>
      </c>
      <c r="E18" s="15" t="s">
        <v>4330</v>
      </c>
      <c r="F18" s="15" t="s">
        <v>4331</v>
      </c>
      <c r="G18" s="15" t="s">
        <v>4332</v>
      </c>
      <c r="H18" s="15" t="s">
        <v>4333</v>
      </c>
    </row>
    <row r="19" customFormat="false" ht="23.85" hidden="false" customHeight="false" outlineLevel="0" collapsed="false">
      <c r="A19" s="17" t="s">
        <v>4334</v>
      </c>
      <c r="B19" s="18" t="s">
        <v>831</v>
      </c>
      <c r="C19" s="17" t="s">
        <v>4335</v>
      </c>
      <c r="D19" s="17" t="s">
        <v>4336</v>
      </c>
      <c r="E19" s="17" t="s">
        <v>4337</v>
      </c>
      <c r="F19" s="17" t="s">
        <v>4338</v>
      </c>
      <c r="G19" s="17" t="s">
        <v>4339</v>
      </c>
      <c r="H19" s="17" t="s">
        <v>4340</v>
      </c>
    </row>
    <row r="20" customFormat="false" ht="23.85" hidden="false" customHeight="false" outlineLevel="0" collapsed="false">
      <c r="A20" s="15" t="s">
        <v>4341</v>
      </c>
      <c r="B20" s="16" t="s">
        <v>859</v>
      </c>
      <c r="C20" s="15" t="s">
        <v>4342</v>
      </c>
      <c r="D20" s="15" t="s">
        <v>4343</v>
      </c>
      <c r="E20" s="15" t="s">
        <v>4344</v>
      </c>
      <c r="F20" s="15" t="s">
        <v>4345</v>
      </c>
      <c r="G20" s="15" t="s">
        <v>4346</v>
      </c>
      <c r="H20" s="15" t="s">
        <v>4347</v>
      </c>
    </row>
    <row r="21" customFormat="false" ht="23.85" hidden="false" customHeight="false" outlineLevel="0" collapsed="false">
      <c r="A21" s="17" t="s">
        <v>4348</v>
      </c>
      <c r="B21" s="18" t="s">
        <v>4349</v>
      </c>
      <c r="C21" s="17" t="s">
        <v>4350</v>
      </c>
      <c r="D21" s="17" t="s">
        <v>4351</v>
      </c>
      <c r="E21" s="17" t="s">
        <v>4352</v>
      </c>
      <c r="F21" s="17" t="s">
        <v>4353</v>
      </c>
      <c r="G21" s="17" t="s">
        <v>4354</v>
      </c>
      <c r="H21" s="17" t="s">
        <v>4355</v>
      </c>
    </row>
    <row r="22" customFormat="false" ht="15" hidden="false" customHeight="false" outlineLevel="0" collapsed="false">
      <c r="A22" s="15" t="s">
        <v>4356</v>
      </c>
      <c r="B22" s="16" t="s">
        <v>1093</v>
      </c>
      <c r="C22" s="15" t="s">
        <v>4357</v>
      </c>
      <c r="D22" s="15" t="s">
        <v>4358</v>
      </c>
      <c r="E22" s="15" t="s">
        <v>4359</v>
      </c>
      <c r="F22" s="15" t="s">
        <v>4360</v>
      </c>
      <c r="G22" s="15" t="s">
        <v>4361</v>
      </c>
      <c r="H22" s="15" t="s">
        <v>4362</v>
      </c>
    </row>
    <row r="23" customFormat="false" ht="23.85" hidden="false" customHeight="false" outlineLevel="0" collapsed="false">
      <c r="A23" s="17" t="s">
        <v>4363</v>
      </c>
      <c r="B23" s="18" t="s">
        <v>4364</v>
      </c>
      <c r="C23" s="17" t="s">
        <v>4365</v>
      </c>
      <c r="D23" s="17" t="s">
        <v>4366</v>
      </c>
      <c r="E23" s="17" t="s">
        <v>4367</v>
      </c>
      <c r="F23" s="17" t="s">
        <v>4368</v>
      </c>
      <c r="G23" s="17" t="s">
        <v>4369</v>
      </c>
      <c r="H23" s="17" t="s">
        <v>4370</v>
      </c>
    </row>
    <row r="24" customFormat="false" ht="23.85" hidden="false" customHeight="false" outlineLevel="0" collapsed="false">
      <c r="A24" s="15" t="s">
        <v>4371</v>
      </c>
      <c r="B24" s="16" t="s">
        <v>690</v>
      </c>
      <c r="C24" s="15" t="s">
        <v>4372</v>
      </c>
      <c r="D24" s="15" t="s">
        <v>4373</v>
      </c>
      <c r="E24" s="15" t="s">
        <v>4374</v>
      </c>
      <c r="F24" s="15" t="s">
        <v>4375</v>
      </c>
      <c r="G24" s="15" t="s">
        <v>4376</v>
      </c>
      <c r="H24" s="15" t="s">
        <v>4377</v>
      </c>
    </row>
    <row r="25" customFormat="false" ht="23.85" hidden="false" customHeight="false" outlineLevel="0" collapsed="false">
      <c r="A25" s="17" t="s">
        <v>4378</v>
      </c>
      <c r="B25" s="18" t="s">
        <v>421</v>
      </c>
      <c r="C25" s="17" t="s">
        <v>4379</v>
      </c>
      <c r="D25" s="17" t="s">
        <v>4380</v>
      </c>
      <c r="E25" s="17" t="s">
        <v>4381</v>
      </c>
      <c r="F25" s="17" t="s">
        <v>4382</v>
      </c>
      <c r="G25" s="17" t="s">
        <v>4383</v>
      </c>
      <c r="H25" s="17" t="s">
        <v>4384</v>
      </c>
    </row>
    <row r="26" customFormat="false" ht="35.05" hidden="false" customHeight="false" outlineLevel="0" collapsed="false">
      <c r="A26" s="15" t="s">
        <v>4385</v>
      </c>
      <c r="B26" s="16" t="s">
        <v>1167</v>
      </c>
      <c r="C26" s="15" t="s">
        <v>4386</v>
      </c>
      <c r="D26" s="15" t="s">
        <v>4387</v>
      </c>
      <c r="E26" s="15" t="s">
        <v>4388</v>
      </c>
      <c r="F26" s="15" t="s">
        <v>4389</v>
      </c>
      <c r="G26" s="15" t="s">
        <v>4390</v>
      </c>
      <c r="H26" s="15" t="s">
        <v>4391</v>
      </c>
    </row>
    <row r="27" customFormat="false" ht="23.85" hidden="false" customHeight="false" outlineLevel="0" collapsed="false">
      <c r="A27" s="17" t="s">
        <v>4392</v>
      </c>
      <c r="B27" s="18" t="s">
        <v>478</v>
      </c>
      <c r="C27" s="17" t="s">
        <v>4393</v>
      </c>
      <c r="D27" s="17" t="s">
        <v>4394</v>
      </c>
      <c r="E27" s="17" t="s">
        <v>4395</v>
      </c>
      <c r="F27" s="17" t="s">
        <v>4396</v>
      </c>
      <c r="G27" s="17" t="s">
        <v>4397</v>
      </c>
      <c r="H27" s="17" t="s">
        <v>4398</v>
      </c>
    </row>
    <row r="28" customFormat="false" ht="23.85" hidden="false" customHeight="false" outlineLevel="0" collapsed="false">
      <c r="A28" s="15" t="s">
        <v>4399</v>
      </c>
      <c r="B28" s="16" t="s">
        <v>1137</v>
      </c>
      <c r="C28" s="15" t="s">
        <v>4400</v>
      </c>
      <c r="D28" s="15" t="s">
        <v>4401</v>
      </c>
      <c r="E28" s="15" t="s">
        <v>4402</v>
      </c>
      <c r="F28" s="15" t="s">
        <v>4403</v>
      </c>
      <c r="G28" s="15" t="s">
        <v>4404</v>
      </c>
      <c r="H28" s="15" t="s">
        <v>4405</v>
      </c>
    </row>
    <row r="29" customFormat="false" ht="23.85" hidden="false" customHeight="false" outlineLevel="0" collapsed="false">
      <c r="A29" s="17" t="s">
        <v>4406</v>
      </c>
      <c r="B29" s="18" t="s">
        <v>956</v>
      </c>
      <c r="C29" s="17" t="s">
        <v>4407</v>
      </c>
      <c r="D29" s="17" t="s">
        <v>4408</v>
      </c>
      <c r="E29" s="17" t="s">
        <v>4409</v>
      </c>
      <c r="F29" s="17" t="s">
        <v>4410</v>
      </c>
      <c r="G29" s="17" t="s">
        <v>4411</v>
      </c>
      <c r="H29" s="17" t="s">
        <v>4412</v>
      </c>
    </row>
  </sheetData>
  <autoFilter ref="A1:H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2026-09-24T13:09:05Z</dcterms:created>
  <dc:creator>openpyxl</dc:creator>
  <dc:description/>
  <dc:language>en-US</dc:language>
  <cp:lastModifiedBy/>
  <dcterms:modified xsi:type="dcterms:W3CDTF">2026-09-24T13:09:06Z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